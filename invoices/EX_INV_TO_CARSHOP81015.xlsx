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-81015" sheetId="1" state="visible" r:id="rId3"/>
  </sheets>
  <definedNames>
    <definedName function="false" hidden="false" localSheetId="0" name="_xlnm.Print_Area" vbProcedure="false">'INV-81015'!$A$1:$F$36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<sst xmlns="http://schemas.openxmlformats.org/spreadsheetml/2006/main" count="45" uniqueCount="45">
  <si>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EXCELLENT AUTO SALES AND LEASING</t>
  </si>
  <si>
    <t xml:space="preserve">INVOICE</t>
  </si>
  <si>
    <t xml:space="preserve">6419 Alondra Blvd, Paramount, CA 90723 U.S.A.</t>
  </si>
  <si>
    <t xml:space="preserve">Tel (310) 906-8117   Fax (562) 529-7997</t>
  </si>
  <si>
    <t xml:space="preserve">BILL TO</t>
  </si>
  <si>
    <t xml:space="preserve">Invoice No.</t>
  </si>
  <si>
    <t xml:space="preserve">81015</t>
  </si>
  <si>
    <t xml:space="preserve">CARSHOP WORLD IN MIND</t>
  </si>
  <si>
    <t xml:space="preserve">Date</t>
  </si>
  <si>
    <t xml:space="preserve">68 OKAMOTO CHO</t>
  </si>
  <si>
    <t xml:space="preserve">Terms</t>
  </si>
  <si>
    <t xml:space="preserve">Net 7 days</t>
  </si>
  <si>
    <t xml:space="preserve">TAKAMATSU</t>
  </si>
  <si>
    <t xml:space="preserve">Vessel</t>
  </si>
  <si>
    <t xml:space="preserve">M/V ASIAN TRADER V.118</t>
  </si>
  <si>
    <t xml:space="preserve">KAGAWA JAPAN 761-8047</t>
  </si>
  <si>
    <t xml:space="preserve">TEL 080-4998-8540</t>
  </si>
  <si>
    <t xml:space="preserve">DESCRIPTION OF CHARGE</t>
  </si>
  <si>
    <t xml:space="preserve">REFERENCE</t>
  </si>
  <si>
    <t xml:space="preserve">QTY</t>
  </si>
  <si>
    <t xml:space="preserve">AMOUNT</t>
  </si>
  <si>
    <t xml:space="preserve">2018 Nissan Frontier SV Crew Cab  ·  Gray</t>
  </si>
  <si>
    <t xml:space="preserve">VIN 1N6AD0EV5JN712345</t>
  </si>
  <si>
    <t xml:space="preserve">Ocean freight  Long Beach → Takamatsu</t>
  </si>
  <si>
    <t xml:space="preserve">B/L NYKS-210602</t>
  </si>
  <si>
    <t xml:space="preserve">Marine cargo insurance (110% of CIF)</t>
  </si>
  <si>
    <t xml:space="preserve">POL-2021-4471</t>
  </si>
  <si>
    <t xml:space="preserve">Pre-shipment inspection (JEVIC)</t>
  </si>
  <si>
    <t xml:space="preserve">JEV-88213</t>
  </si>
  <si>
    <t xml:space="preserve">Export documentation &amp; customs clearance</t>
  </si>
  <si>
    <t xml:space="preserve">AES ITN X2021</t>
  </si>
  <si>
    <t xml:space="preserve">Inland transport  Paramount → Port of Long Beach</t>
  </si>
  <si>
    <t xml:space="preserve">Subtotal</t>
  </si>
  <si>
    <t xml:space="preserve">Discount rate in D26 is an input (blue) — edit to change the discount.</t>
  </si>
  <si>
    <t xml:space="preserve">Repeat-customer discount</t>
  </si>
  <si>
    <t xml:space="preserve">TOTAL DUE (USD)</t>
  </si>
  <si>
    <t xml:space="preserve">PAYMENT INSTRUCTIONS</t>
  </si>
  <si>
    <t xml:space="preserve">Bank</t>
  </si>
  <si>
    <t xml:space="preserve">Bank of America, N.A. — Paramount Branch</t>
  </si>
  <si>
    <t xml:space="preserve">Account Name</t>
  </si>
  <si>
    <t xml:space="preserve">Excellent Auto Sales and Leasing</t>
  </si>
  <si>
    <t xml:space="preserve">Account No.</t>
  </si>
  <si>
    <t xml:space="preserve">xxxx-xxxx-4417</t>
  </si>
  <si>
    <t xml:space="preserve">SWIFT / ABA</t>
  </si>
  <si>
    <t xml:space="preserve">BOFAUS3N  /  026009593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</si>
</sst>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\$#,##0.0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333F50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9"/>
      <color rgb="FF333F5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F50"/>
        <bgColor rgb="FF333399"/>
      </patternFill>
    </fill>
    <fill>
      <patternFill patternType="solid">
        <fgColor rgb="FFEAECF0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6D6D6"/>
      </bottom>
      <diagonal/>
    </border>
    <border diagonalUp="false" diagonalDown="false">
      <left style="thin">
        <color rgb="FF333F50"/>
      </left>
      <right style="thin">
        <color rgb="FF333F50"/>
      </right>
      <top style="thin">
        <color rgb="FF333F50"/>
      </top>
      <bottom/>
      <diagonal/>
    </border>
    <border diagonalUp="false" diagonalDown="false">
      <left style="thin">
        <color rgb="FF333F50"/>
      </left>
      <right/>
      <top/>
      <bottom/>
      <diagonal/>
    </border>
    <border diagonalUp="false" diagonalDown="false">
      <left/>
      <right style="thin">
        <color rgb="FF333F50"/>
      </right>
      <top/>
      <bottom/>
      <diagonal/>
    </border>
    <border diagonalUp="false" diagonalDown="false">
      <left style="thin">
        <color rgb="FF333F50"/>
      </left>
      <right/>
      <top/>
      <bottom style="thin">
        <color rgb="FF333F50"/>
      </bottom>
      <diagonal/>
    </border>
    <border diagonalUp="false" diagonalDown="false">
      <left/>
      <right style="thin">
        <color rgb="FF333F50"/>
      </right>
      <top/>
      <bottom style="thin">
        <color rgb="FF333F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CF0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"/>
  </cols>
  <sheetData>
    <row r="2" customFormat="false" ht="25.5" hidden="false" customHeight="true" outlineLevel="0" collapsed="false">
      <c r="B2" s="1" t="s">
        <v>0</v>
      </c>
      <c r="D2" s="2" t="s">
        <v>1</v>
      </c>
      <c r="E2" s="2"/>
    </row>
    <row r="3" customFormat="false" ht="15" hidden="false" customHeight="false" outlineLevel="0" collapsed="false">
      <c r="B3" s="3" t="s">
        <v>2</v>
      </c>
      <c r="D3" s="2"/>
      <c r="E3" s="2"/>
    </row>
    <row r="4" customFormat="false" ht="15" hidden="false" customHeight="false" outlineLevel="0" collapsed="false">
      <c r="B4" s="3" t="s">
        <v>3</v>
      </c>
    </row>
    <row r="7" customFormat="false" ht="16.5" hidden="false" customHeight="true" outlineLevel="0" collapsed="false">
      <c r="B7" s="4" t="s">
        <v>4</v>
      </c>
      <c r="D7" s="5" t="s">
        <v>5</v>
      </c>
      <c r="E7" s="6" t="s">
        <v>6</v>
      </c>
    </row>
    <row r="8" customFormat="false" ht="15" hidden="false" customHeight="true" outlineLevel="0" collapsed="false">
      <c r="B8" s="7" t="s">
        <v>7</v>
      </c>
      <c r="D8" s="5" t="s">
        <v>8</v>
      </c>
      <c r="E8" s="8" t="n">
        <v>44349</v>
      </c>
    </row>
    <row r="9" customFormat="false" ht="15" hidden="false" customHeight="true" outlineLevel="0" collapsed="false">
      <c r="B9" s="9" t="s">
        <v>9</v>
      </c>
      <c r="D9" s="5" t="s">
        <v>10</v>
      </c>
      <c r="E9" s="6" t="s">
        <v>11</v>
      </c>
    </row>
    <row r="10" customFormat="false" ht="15" hidden="false" customHeight="true" outlineLevel="0" collapsed="false">
      <c r="B10" s="9" t="s">
        <v>12</v>
      </c>
      <c r="D10" s="5" t="s">
        <v>13</v>
      </c>
      <c r="E10" s="6" t="s">
        <v>14</v>
      </c>
    </row>
    <row r="11" customFormat="false" ht="15" hidden="false" customHeight="true" outlineLevel="0" collapsed="false">
      <c r="B11" s="9" t="s">
        <v>15</v>
      </c>
    </row>
    <row r="12" customFormat="false" ht="15" hidden="false" customHeight="true" outlineLevel="0" collapsed="false">
      <c r="B12" s="9" t="s">
        <v>16</v>
      </c>
    </row>
    <row r="14" customFormat="false" ht="21" hidden="false" customHeight="true" outlineLevel="0" collapsed="false">
      <c r="B14" s="10" t="s">
        <v>17</v>
      </c>
      <c r="C14" s="10" t="s">
        <v>18</v>
      </c>
      <c r="D14" s="11" t="s">
        <v>19</v>
      </c>
      <c r="E14" s="12" t="s">
        <v>20</v>
      </c>
    </row>
    <row r="15" customFormat="false" ht="18.75" hidden="false" customHeight="true" outlineLevel="0" collapsed="false">
      <c r="B15" s="13" t="s">
        <v>21</v>
      </c>
      <c r="C15" s="14" t="s">
        <v>22</v>
      </c>
      <c r="D15" s="15" t="n">
        <v>1</v>
      </c>
      <c r="E15" s="16" t="n">
        <v>19450</v>
      </c>
    </row>
    <row r="16" customFormat="false" ht="18.75" hidden="false" customHeight="true" outlineLevel="0" collapsed="false">
      <c r="B16" s="13" t="s">
        <v>23</v>
      </c>
      <c r="C16" s="14" t="s">
        <v>24</v>
      </c>
      <c r="D16" s="15" t="n">
        <v>1</v>
      </c>
      <c r="E16" s="16" t="n">
        <v>1650</v>
      </c>
    </row>
    <row r="17" customFormat="false" ht="18.75" hidden="false" customHeight="true" outlineLevel="0" collapsed="false">
      <c r="B17" s="13" t="s">
        <v>25</v>
      </c>
      <c r="C17" s="14" t="s">
        <v>26</v>
      </c>
      <c r="D17" s="15" t="n">
        <v>1</v>
      </c>
      <c r="E17" s="16" t="n">
        <v>315</v>
      </c>
    </row>
    <row r="18" customFormat="false" ht="18.75" hidden="false" customHeight="true" outlineLevel="0" collapsed="false">
      <c r="B18" s="13" t="s">
        <v>27</v>
      </c>
      <c r="C18" s="14" t="s">
        <v>28</v>
      </c>
      <c r="D18" s="15" t="n">
        <v>1</v>
      </c>
      <c r="E18" s="16" t="n">
        <v>210</v>
      </c>
    </row>
    <row r="19" customFormat="false" ht="18.75" hidden="false" customHeight="true" outlineLevel="0" collapsed="false">
      <c r="B19" s="13" t="s">
        <v>29</v>
      </c>
      <c r="C19" s="14" t="s">
        <v>30</v>
      </c>
      <c r="D19" s="15" t="n">
        <v>1</v>
      </c>
      <c r="E19" s="16" t="n">
        <v>175</v>
      </c>
    </row>
    <row r="20" customFormat="false" ht="18.75" hidden="false" customHeight="true" outlineLevel="0" collapsed="false">
      <c r="B20" s="13" t="s">
        <v>31</v>
      </c>
      <c r="C20" s="14"/>
      <c r="D20" s="15" t="n">
        <v>1</v>
      </c>
      <c r="E20" s="16" t="n">
        <v>240</v>
      </c>
    </row>
    <row r="21" customFormat="false" ht="18.75" hidden="false" customHeight="true" outlineLevel="0" collapsed="false">
      <c r="B21" s="17"/>
      <c r="C21" s="17"/>
      <c r="D21" s="17"/>
      <c r="E21" s="17"/>
    </row>
    <row r="22" customFormat="false" ht="18.75" hidden="false" customHeight="true" outlineLevel="0" collapsed="false">
      <c r="B22" s="17"/>
      <c r="C22" s="17"/>
      <c r="D22" s="17"/>
      <c r="E22" s="17"/>
    </row>
    <row r="25" customFormat="false" ht="18" hidden="false" customHeight="true" outlineLevel="0" collapsed="false">
      <c r="C25" s="18" t="s">
        <v>32</v>
      </c>
      <c r="D25" s="18"/>
      <c r="E25" s="19" t="n">
        <f aca="false">SUM(E15:E22)</f>
        <v>22040</v>
      </c>
    </row>
    <row r="26" customFormat="false" ht="18" hidden="false" customHeight="true" outlineLevel="0" collapsed="false">
      <c r="B26" s="20" t="s">
        <v>33</v>
      </c>
      <c r="C26" s="21" t="s">
        <v>34</v>
      </c>
      <c r="D26" s="22" t="n">
        <v>0.02</v>
      </c>
      <c r="E26" s="19" t="n">
        <f aca="false">-ROUND(E25*D26,2)</f>
        <v>-440.8</v>
      </c>
    </row>
    <row r="27" customFormat="false" ht="24" hidden="false" customHeight="true" outlineLevel="0" collapsed="false">
      <c r="C27" s="23" t="s">
        <v>35</v>
      </c>
      <c r="D27" s="23"/>
      <c r="E27" s="24" t="n">
        <f aca="false">SUM(E25:E26)</f>
        <v>21599.2</v>
      </c>
    </row>
    <row r="30" customFormat="false" ht="16.5" hidden="false" customHeight="true" outlineLevel="0" collapsed="false">
      <c r="B30" s="25" t="s">
        <v>36</v>
      </c>
      <c r="C30" s="25"/>
      <c r="D30" s="25"/>
      <c r="E30" s="25"/>
    </row>
    <row r="31" customFormat="false" ht="15" hidden="false" customHeight="true" outlineLevel="0" collapsed="false">
      <c r="B31" s="26" t="s">
        <v>37</v>
      </c>
      <c r="C31" s="27" t="s">
        <v>38</v>
      </c>
      <c r="D31" s="27"/>
      <c r="E31" s="27"/>
    </row>
    <row r="32" customFormat="false" ht="15" hidden="false" customHeight="true" outlineLevel="0" collapsed="false">
      <c r="B32" s="26" t="s">
        <v>39</v>
      </c>
      <c r="C32" s="27" t="s">
        <v>40</v>
      </c>
      <c r="D32" s="27"/>
      <c r="E32" s="27"/>
    </row>
    <row r="33" customFormat="false" ht="15" hidden="false" customHeight="true" outlineLevel="0" collapsed="false">
      <c r="B33" s="26" t="s">
        <v>41</v>
      </c>
      <c r="C33" s="27" t="s">
        <v>42</v>
      </c>
      <c r="D33" s="27"/>
      <c r="E33" s="27"/>
    </row>
    <row r="34" customFormat="false" ht="15" hidden="false" customHeight="true" outlineLevel="0" collapsed="false">
      <c r="B34" s="28" t="s">
        <v>43</v>
      </c>
      <c r="C34" s="29" t="s">
        <v>44</v>
      </c>
      <c r="D34" s="29"/>
      <c r="E34" s="29"/>
    </row>
  </sheetData>
  <mergeCells count="8">
    <mergeCell ref="D2:E3"/>
    <mergeCell ref="C25:D25"/>
    <mergeCell ref="C27:D27"/>
    <mergeCell ref="B30:E30"/>
    <mergeCell ref="C31:E31"/>
    <mergeCell ref="C32:E32"/>
    <mergeCell ref="C33:E33"/>
    <mergeCell ref="C34:E34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2026-08-28T06:00:20Z</dcterms:created>
  <dc:creator>openpyxl</dc:creator>
  <dc:description/>
  <dc:language>en-US</dc:language>
  <cp:lastModifiedBy/>
  <dcterms:modified xsi:type="dcterms:W3CDTF">2026-08-28T06:00:20Z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