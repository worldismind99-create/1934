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V-81019" sheetId="1" state="visible" r:id="rId3"/>
  </sheets>
  <definedNames>
    <definedName function="false" hidden="false" localSheetId="0" name="_xlnm.Print_Area" vbProcedure="false">'INV-81019'!$A$1:$H$36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<sst xmlns="http://schemas.openxmlformats.org/spreadsheetml/2006/main" count="52" uniqueCount="51">
  <si>
    <t xml:space="preserve">INVOICE / STATEMENT OF ACCOUNT</t>
  </si>
  <si>
    <t xml:space="preserve">Statement No.</t>
  </si>
  <si>
    <t xml:space="preserve">81019</t>
  </si>
  <si>
    <t xml:space="preserve">EXCELLENT AUTO SALES AND LEASING</t>
  </si>
  <si>
    <t xml:space="preserve">Date</t>
  </si>
  <si>
    <t xml:space="preserve">6419 Alondra Blvd, Paramount, CA 90723 U.S.A.</t>
  </si>
  <si>
    <t xml:space="preserve">Period</t>
  </si>
  <si>
    <t xml:space="preserve">June 1 – June 28, 2021</t>
  </si>
  <si>
    <t xml:space="preserve">Tel (310) 906-8117 · Fax (562) 529-7997</t>
  </si>
  <si>
    <t xml:space="preserve">Terms</t>
  </si>
  <si>
    <t xml:space="preserve">30% / 70%</t>
  </si>
  <si>
    <t xml:space="preserve">BILL TO</t>
  </si>
  <si>
    <t xml:space="preserve">CARSHOP WORLD IN MIND</t>
  </si>
  <si>
    <t xml:space="preserve">68 OKAMOTO CHO</t>
  </si>
  <si>
    <t xml:space="preserve">TAKAMATSU</t>
  </si>
  <si>
    <t xml:space="preserve">KAGAWA JAPAN 761-8047</t>
  </si>
  <si>
    <t xml:space="preserve">TEL 080-4998-8540</t>
  </si>
  <si>
    <t xml:space="preserve">NO</t>
  </si>
  <si>
    <t xml:space="preserve">VEHICLE</t>
  </si>
  <si>
    <t xml:space="preserve">VIN</t>
  </si>
  <si>
    <t xml:space="preserve">COLOR</t>
  </si>
  <si>
    <t xml:space="preserve">UNIT PRICE</t>
  </si>
  <si>
    <t xml:space="preserve">AMOUNT</t>
  </si>
  <si>
    <t xml:space="preserve">2014 Chevrolet Camaro SS Coupe</t>
  </si>
  <si>
    <t xml:space="preserve">2G1FK1EJ9E9112233</t>
  </si>
  <si>
    <t xml:space="preserve">Yellow</t>
  </si>
  <si>
    <t xml:space="preserve">2017 Ford Explorer XLT 4WD</t>
  </si>
  <si>
    <t xml:space="preserve">1FM5K8D89HGA55667</t>
  </si>
  <si>
    <t xml:space="preserve">Silver</t>
  </si>
  <si>
    <t xml:space="preserve">2016 Toyota Sienna XLE</t>
  </si>
  <si>
    <t xml:space="preserve">5TDYK3DC8GS712345</t>
  </si>
  <si>
    <t xml:space="preserve">White</t>
  </si>
  <si>
    <t xml:space="preserve">2018 Jeep Cherokee Latitude</t>
  </si>
  <si>
    <t xml:space="preserve">1C4PJMLB4JD998877</t>
  </si>
  <si>
    <t xml:space="preserve">Granite</t>
  </si>
  <si>
    <t xml:space="preserve">2015 Nissan Titan SV Crew Cab</t>
  </si>
  <si>
    <t xml:space="preserve">1N6AA0EJ5FN501234</t>
  </si>
  <si>
    <t xml:space="preserve">Black</t>
  </si>
  <si>
    <t xml:space="preserve">2019 Hyundai Tucson SEL AWD</t>
  </si>
  <si>
    <t xml:space="preserve">KM8J3CA46KU887766</t>
  </si>
  <si>
    <t xml:space="preserve">Blue</t>
  </si>
  <si>
    <t xml:space="preserve">Units shipped</t>
  </si>
  <si>
    <t xml:space="preserve">Vehicle subtotal</t>
  </si>
  <si>
    <t xml:space="preserve">Ocean freight (RoRo, per unit $1,600)</t>
  </si>
  <si>
    <t xml:space="preserve">TOTAL DUE (USD)</t>
  </si>
  <si>
    <t xml:space="preserve">PAYMENT SCHEDULE</t>
  </si>
  <si>
    <t xml:space="preserve">DUE DATE</t>
  </si>
  <si>
    <t xml:space="preserve">DESCRIPTION</t>
  </si>
  <si>
    <t xml:space="preserve">Deposit — 30% on invoice</t>
  </si>
  <si>
    <t xml:space="preserve">Balance — 70% before sailing</t>
  </si>
  <si>
    <t xml:space="preserve">Total scheduled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</si>
</sst>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/dd/yyyy"/>
    <numFmt numFmtId="166" formatCode="\$#,##0.00"/>
    <numFmt numFmtId="167" formatCode="0&quot; units&quot;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6F6F"/>
      <name val="Tahoma"/>
      <family val="0"/>
      <charset val="1"/>
    </font>
    <font>
      <b val="true"/>
      <sz val="8"/>
      <color rgb="FF1F6F6F"/>
      <name val="Tahoma"/>
      <family val="0"/>
      <charset val="1"/>
    </font>
    <font>
      <sz val="9"/>
      <name val="Tahoma"/>
      <family val="0"/>
      <charset val="1"/>
    </font>
    <font>
      <b val="true"/>
      <sz val="9"/>
      <name val="Tahoma"/>
      <family val="0"/>
      <charset val="1"/>
    </font>
    <font>
      <sz val="8"/>
      <color rgb="FF595959"/>
      <name val="Tahoma"/>
      <family val="0"/>
      <charset val="1"/>
    </font>
    <font>
      <b val="true"/>
      <sz val="8"/>
      <color rgb="FFFFFFFF"/>
      <name val="Tahoma"/>
      <family val="0"/>
      <charset val="1"/>
    </font>
    <font>
      <sz val="9"/>
      <color rgb="FF404040"/>
      <name val="Tahoma"/>
      <family val="0"/>
      <charset val="1"/>
    </font>
    <font>
      <sz val="9"/>
      <color rgb="FF000000"/>
      <name val="Tahoma"/>
      <family val="0"/>
      <charset val="1"/>
    </font>
    <font>
      <b val="true"/>
      <sz val="10"/>
      <color rgb="FFFFFFFF"/>
      <name val="Tahoma"/>
      <family val="0"/>
      <charset val="1"/>
    </font>
    <font>
      <b val="true"/>
      <sz val="11"/>
      <color rgb="FFFFFFFF"/>
      <name val="Tahom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E9EFEF"/>
        <bgColor rgb="FFFFFFFF"/>
      </patternFill>
    </fill>
    <fill>
      <patternFill patternType="solid">
        <fgColor rgb="FF1F6F6F"/>
        <bgColor rgb="FF00808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>
        <color rgb="FF1F6F6F"/>
      </left>
      <right/>
      <top style="thin">
        <color rgb="FF1F6F6F"/>
      </top>
      <bottom/>
      <diagonal/>
    </border>
    <border diagonalUp="false" diagonalDown="false">
      <left/>
      <right style="thin">
        <color rgb="FF1F6F6F"/>
      </right>
      <top style="thin">
        <color rgb="FF1F6F6F"/>
      </top>
      <bottom/>
      <diagonal/>
    </border>
    <border diagonalUp="false" diagonalDown="false">
      <left style="thin">
        <color rgb="FF1F6F6F"/>
      </left>
      <right/>
      <top/>
      <bottom/>
      <diagonal/>
    </border>
    <border diagonalUp="false" diagonalDown="false">
      <left/>
      <right style="thin">
        <color rgb="FF1F6F6F"/>
      </right>
      <top/>
      <bottom/>
      <diagonal/>
    </border>
    <border diagonalUp="false" diagonalDown="false">
      <left style="thin">
        <color rgb="FF1F6F6F"/>
      </left>
      <right/>
      <top/>
      <bottom style="thin">
        <color rgb="FF1F6F6F"/>
      </bottom>
      <diagonal/>
    </border>
    <border diagonalUp="false" diagonalDown="false">
      <left/>
      <right style="thin">
        <color rgb="FF1F6F6F"/>
      </right>
      <top/>
      <bottom style="thin">
        <color rgb="FF1F6F6F"/>
      </bottom>
      <diagonal/>
    </border>
    <border diagonalUp="false" diagonalDown="false">
      <left/>
      <right/>
      <top/>
      <bottom style="hair">
        <color rgb="FFC7D5D5"/>
      </bottom>
      <diagonal/>
    </border>
    <border diagonalUp="false" diagonalDown="false">
      <left style="thin">
        <color rgb="FF9DBDBD"/>
      </left>
      <right style="thin">
        <color rgb="FF9DBDBD"/>
      </right>
      <top style="thin">
        <color rgb="FF9DBDBD"/>
      </top>
      <bottom style="thin">
        <color rgb="FF9DBDB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6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6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6" fillId="2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3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9" fillId="3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6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6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6F6F"/>
      <rgbColor rgb="FF9DBDBD"/>
      <rgbColor rgb="FF808080"/>
      <rgbColor rgb="FF9999FF"/>
      <rgbColor rgb="FF993366"/>
      <rgbColor rgb="FFE9EFEF"/>
      <rgbColor rgb="FFCCFFFF"/>
      <rgbColor rgb="FF660066"/>
      <rgbColor rgb="FFFF8080"/>
      <rgbColor rgb="FF0066CC"/>
      <rgbColor rgb="FFC7D5D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G3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30"/>
    <col collapsed="false" customWidth="true" hidden="false" outlineLevel="0" max="4" min="4" style="0" width="21"/>
    <col collapsed="false" customWidth="true" hidden="false" outlineLevel="0" max="6" min="5" style="0" width="14"/>
    <col collapsed="false" customWidth="true" hidden="false" outlineLevel="0" max="7" min="7" style="0" width="15"/>
    <col collapsed="false" customWidth="true" hidden="false" outlineLevel="0" max="8" min="8" style="0" width="2"/>
  </cols>
  <sheetData>
    <row r="2" customFormat="false" ht="15" hidden="false" customHeight="true" outlineLevel="0" collapsed="false">
      <c r="B2" s="1" t="s">
        <v>0</v>
      </c>
      <c r="C2" s="1"/>
      <c r="D2" s="1"/>
      <c r="E2" s="2" t="s">
        <v>1</v>
      </c>
      <c r="F2" s="2"/>
      <c r="G2" s="3" t="s">
        <v>2</v>
      </c>
    </row>
    <row r="3" customFormat="false" ht="15" hidden="false" customHeight="true" outlineLevel="0" collapsed="false">
      <c r="B3" s="4" t="s">
        <v>3</v>
      </c>
      <c r="C3" s="4"/>
      <c r="D3" s="4"/>
      <c r="E3" s="5" t="s">
        <v>4</v>
      </c>
      <c r="F3" s="5"/>
      <c r="G3" s="6" t="n">
        <v>44375</v>
      </c>
    </row>
    <row r="4" customFormat="false" ht="15" hidden="false" customHeight="true" outlineLevel="0" collapsed="false">
      <c r="B4" s="7" t="s">
        <v>5</v>
      </c>
      <c r="C4" s="7"/>
      <c r="D4" s="7"/>
      <c r="E4" s="5" t="s">
        <v>6</v>
      </c>
      <c r="F4" s="5"/>
      <c r="G4" s="8" t="s">
        <v>7</v>
      </c>
    </row>
    <row r="5" customFormat="false" ht="15" hidden="false" customHeight="true" outlineLevel="0" collapsed="false">
      <c r="B5" s="7" t="s">
        <v>8</v>
      </c>
      <c r="C5" s="7"/>
      <c r="D5" s="7"/>
      <c r="E5" s="9" t="s">
        <v>9</v>
      </c>
      <c r="F5" s="9"/>
      <c r="G5" s="10" t="s">
        <v>10</v>
      </c>
    </row>
    <row r="7" customFormat="false" ht="15.75" hidden="false" customHeight="true" outlineLevel="0" collapsed="false">
      <c r="B7" s="11" t="s">
        <v>11</v>
      </c>
    </row>
    <row r="8" customFormat="false" ht="13.5" hidden="false" customHeight="true" outlineLevel="0" collapsed="false">
      <c r="B8" s="12" t="s">
        <v>12</v>
      </c>
    </row>
    <row r="9" customFormat="false" ht="13.5" hidden="false" customHeight="true" outlineLevel="0" collapsed="false">
      <c r="B9" s="13" t="s">
        <v>13</v>
      </c>
    </row>
    <row r="10" customFormat="false" ht="13.5" hidden="false" customHeight="true" outlineLevel="0" collapsed="false">
      <c r="B10" s="13" t="s">
        <v>14</v>
      </c>
    </row>
    <row r="11" customFormat="false" ht="13.5" hidden="false" customHeight="true" outlineLevel="0" collapsed="false">
      <c r="B11" s="13" t="s">
        <v>15</v>
      </c>
    </row>
    <row r="12" customFormat="false" ht="13.5" hidden="false" customHeight="true" outlineLevel="0" collapsed="false">
      <c r="B12" s="13" t="s">
        <v>16</v>
      </c>
    </row>
    <row r="14" customFormat="false" ht="21" hidden="false" customHeight="true" outlineLevel="0" collapsed="false">
      <c r="B14" s="14" t="s">
        <v>17</v>
      </c>
      <c r="C14" s="15" t="s">
        <v>18</v>
      </c>
      <c r="D14" s="15" t="s">
        <v>19</v>
      </c>
      <c r="E14" s="14" t="s">
        <v>20</v>
      </c>
      <c r="F14" s="16" t="s">
        <v>21</v>
      </c>
      <c r="G14" s="16" t="s">
        <v>22</v>
      </c>
    </row>
    <row r="15" customFormat="false" ht="18" hidden="false" customHeight="true" outlineLevel="0" collapsed="false">
      <c r="B15" s="17" t="n">
        <v>1</v>
      </c>
      <c r="C15" s="18" t="s">
        <v>23</v>
      </c>
      <c r="D15" s="19" t="s">
        <v>24</v>
      </c>
      <c r="E15" s="17" t="s">
        <v>25</v>
      </c>
      <c r="F15" s="20" t="n">
        <v>21200</v>
      </c>
      <c r="G15" s="20" t="n">
        <f aca="false">F15</f>
        <v>21200</v>
      </c>
    </row>
    <row r="16" customFormat="false" ht="18" hidden="false" customHeight="true" outlineLevel="0" collapsed="false">
      <c r="B16" s="21" t="n">
        <v>2</v>
      </c>
      <c r="C16" s="22" t="s">
        <v>26</v>
      </c>
      <c r="D16" s="23" t="s">
        <v>27</v>
      </c>
      <c r="E16" s="21" t="s">
        <v>28</v>
      </c>
      <c r="F16" s="24" t="n">
        <v>18750</v>
      </c>
      <c r="G16" s="24" t="n">
        <f aca="false">F16</f>
        <v>18750</v>
      </c>
    </row>
    <row r="17" customFormat="false" ht="18" hidden="false" customHeight="true" outlineLevel="0" collapsed="false">
      <c r="B17" s="17" t="n">
        <v>3</v>
      </c>
      <c r="C17" s="18" t="s">
        <v>29</v>
      </c>
      <c r="D17" s="19" t="s">
        <v>30</v>
      </c>
      <c r="E17" s="17" t="s">
        <v>31</v>
      </c>
      <c r="F17" s="20" t="n">
        <v>16400</v>
      </c>
      <c r="G17" s="20" t="n">
        <f aca="false">F17</f>
        <v>16400</v>
      </c>
    </row>
    <row r="18" customFormat="false" ht="18" hidden="false" customHeight="true" outlineLevel="0" collapsed="false">
      <c r="B18" s="21" t="n">
        <v>4</v>
      </c>
      <c r="C18" s="22" t="s">
        <v>32</v>
      </c>
      <c r="D18" s="23" t="s">
        <v>33</v>
      </c>
      <c r="E18" s="21" t="s">
        <v>34</v>
      </c>
      <c r="F18" s="24" t="n">
        <v>17900</v>
      </c>
      <c r="G18" s="24" t="n">
        <f aca="false">F18</f>
        <v>17900</v>
      </c>
    </row>
    <row r="19" customFormat="false" ht="18" hidden="false" customHeight="true" outlineLevel="0" collapsed="false">
      <c r="B19" s="17" t="n">
        <v>5</v>
      </c>
      <c r="C19" s="18" t="s">
        <v>35</v>
      </c>
      <c r="D19" s="19" t="s">
        <v>36</v>
      </c>
      <c r="E19" s="17" t="s">
        <v>37</v>
      </c>
      <c r="F19" s="20" t="n">
        <v>15300</v>
      </c>
      <c r="G19" s="20" t="n">
        <f aca="false">F19</f>
        <v>15300</v>
      </c>
    </row>
    <row r="20" customFormat="false" ht="18" hidden="false" customHeight="true" outlineLevel="0" collapsed="false">
      <c r="B20" s="21" t="n">
        <v>6</v>
      </c>
      <c r="C20" s="22" t="s">
        <v>38</v>
      </c>
      <c r="D20" s="23" t="s">
        <v>39</v>
      </c>
      <c r="E20" s="21" t="s">
        <v>40</v>
      </c>
      <c r="F20" s="24" t="n">
        <v>16850</v>
      </c>
      <c r="G20" s="24" t="n">
        <f aca="false">F20</f>
        <v>16850</v>
      </c>
    </row>
    <row r="21" customFormat="false" ht="18" hidden="false" customHeight="true" outlineLevel="0" collapsed="false">
      <c r="B21" s="25"/>
      <c r="C21" s="25"/>
      <c r="D21" s="25"/>
      <c r="E21" s="25"/>
      <c r="F21" s="25"/>
      <c r="G21" s="25"/>
    </row>
    <row r="23" customFormat="false" ht="16.5" hidden="false" customHeight="true" outlineLevel="0" collapsed="false">
      <c r="D23" s="26" t="s">
        <v>41</v>
      </c>
      <c r="E23" s="26"/>
      <c r="F23" s="26"/>
      <c r="G23" s="27" t="n">
        <f aca="false">COUNT(G15:G21)</f>
        <v>6</v>
      </c>
    </row>
    <row r="24" customFormat="false" ht="16.5" hidden="false" customHeight="true" outlineLevel="0" collapsed="false">
      <c r="D24" s="26" t="s">
        <v>42</v>
      </c>
      <c r="E24" s="26"/>
      <c r="F24" s="26"/>
      <c r="G24" s="28" t="n">
        <f aca="false">SUM(G15:G21)</f>
        <v>106400</v>
      </c>
    </row>
    <row r="25" customFormat="false" ht="16.5" hidden="false" customHeight="true" outlineLevel="0" collapsed="false">
      <c r="D25" s="26" t="s">
        <v>43</v>
      </c>
      <c r="E25" s="26"/>
      <c r="F25" s="26"/>
      <c r="G25" s="28" t="n">
        <f aca="false">G23*1600</f>
        <v>9600</v>
      </c>
    </row>
    <row r="26" customFormat="false" ht="21.75" hidden="false" customHeight="true" outlineLevel="0" collapsed="false">
      <c r="D26" s="29" t="s">
        <v>44</v>
      </c>
      <c r="E26" s="29"/>
      <c r="F26" s="29"/>
      <c r="G26" s="30" t="n">
        <f aca="false">SUM(G24:G25)</f>
        <v>116000</v>
      </c>
    </row>
    <row r="29" customFormat="false" ht="18" hidden="false" customHeight="true" outlineLevel="0" collapsed="false">
      <c r="B29" s="11" t="s">
        <v>45</v>
      </c>
    </row>
    <row r="30" customFormat="false" ht="18" hidden="false" customHeight="true" outlineLevel="0" collapsed="false">
      <c r="C30" s="31" t="s">
        <v>46</v>
      </c>
      <c r="D30" s="32" t="s">
        <v>47</v>
      </c>
      <c r="E30" s="32"/>
      <c r="F30" s="32"/>
      <c r="G30" s="33" t="s">
        <v>22</v>
      </c>
    </row>
    <row r="31" customFormat="false" ht="16.5" hidden="false" customHeight="true" outlineLevel="0" collapsed="false">
      <c r="C31" s="34" t="n">
        <v>44382</v>
      </c>
      <c r="D31" s="35" t="s">
        <v>48</v>
      </c>
      <c r="E31" s="35"/>
      <c r="F31" s="35"/>
      <c r="G31" s="36" t="n">
        <f aca="false">ROUND($G$26*0.3,2)</f>
        <v>34800</v>
      </c>
    </row>
    <row r="32" customFormat="false" ht="16.5" hidden="false" customHeight="true" outlineLevel="0" collapsed="false">
      <c r="C32" s="34" t="n">
        <v>44397</v>
      </c>
      <c r="D32" s="35" t="s">
        <v>49</v>
      </c>
      <c r="E32" s="35"/>
      <c r="F32" s="35"/>
      <c r="G32" s="36" t="n">
        <f aca="false">$G$26-G31</f>
        <v>81200</v>
      </c>
    </row>
    <row r="33" customFormat="false" ht="18" hidden="false" customHeight="true" outlineLevel="0" collapsed="false">
      <c r="C33" s="37" t="s">
        <v>50</v>
      </c>
      <c r="D33" s="37"/>
      <c r="E33" s="37"/>
      <c r="F33" s="37"/>
      <c r="G33" s="38" t="n">
        <f aca="false">SUM(G31:G32)</f>
        <v>116000</v>
      </c>
    </row>
  </sheetData>
  <mergeCells count="16">
    <mergeCell ref="B2:D2"/>
    <mergeCell ref="E2:F2"/>
    <mergeCell ref="B3:D3"/>
    <mergeCell ref="E3:F3"/>
    <mergeCell ref="B4:D4"/>
    <mergeCell ref="E4:F4"/>
    <mergeCell ref="B5:D5"/>
    <mergeCell ref="E5:F5"/>
    <mergeCell ref="D23:F23"/>
    <mergeCell ref="D24:F24"/>
    <mergeCell ref="D25:F25"/>
    <mergeCell ref="D26:F26"/>
    <mergeCell ref="D30:F30"/>
    <mergeCell ref="D31:F31"/>
    <mergeCell ref="D32:F32"/>
    <mergeCell ref="C33:F33"/>
  </mergeCells>
  <printOptions headings="false" gridLines="false" gridLinesSet="true" horizontalCentered="false" verticalCentered="false"/>
  <pageMargins left="0.5" right="0.5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2026-08-28T06:00:20Z</dcterms:created>
  <dc:creator>openpyxl</dc:creator>
  <dc:description/>
  <dc:language>en-US</dc:language>
  <cp:lastModifiedBy/>
  <dcterms:modified xsi:type="dcterms:W3CDTF">2026-08-28T06:00:20Z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