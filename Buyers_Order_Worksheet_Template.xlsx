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yers Order" sheetId="1" state="visible" r:id="rId3"/>
    <sheet name="README (使い方・計算式)" sheetId="2" state="visible" r:id="rId4"/>
  </sheets>
  <definedNames>
    <definedName function="false" hidden="false" localSheetId="0" name="_xlnm.Print_Area" vbProcedure="false">'Buyers Order'!$A$1:$I$49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0" authorId="0">
      <text>
        <r>
          <rPr>
            <sz val="10"/>
            <rFont val="Arial"/>
            <family val="2"/>
          </rPr>
          <t xml:space="preserve">Cash Option = Balance</t>
        </r>
        <r>
          <rPr>
            <sz val="10"/>
            <rFont val="WenQuanYi Zen Hei"/>
            <family val="2"/>
          </rPr>
          <t xml:space="preserve">（現金一括時の支払総額）</t>
        </r>
      </text>
    </comment>
    <comment ref="H22" authorId="0">
      <text>
        <r>
          <rPr>
            <sz val="10"/>
            <rFont val="Arial"/>
            <family val="2"/>
          </rPr>
          <t xml:space="preserve">Selling Price = Market Value - Discount</t>
        </r>
      </text>
    </comment>
    <comment ref="H28" authorId="0">
      <text>
        <r>
          <rPr>
            <sz val="10"/>
            <rFont val="Arial"/>
            <family val="2"/>
          </rPr>
          <t xml:space="preserve">Total Purchase = Selling Price + Ppf + Protection Plan + Screen Defender + Spray In Bed Liner + Window Tint</t>
        </r>
      </text>
    </comment>
    <comment ref="H30" authorId="0">
      <text>
        <r>
          <rPr>
            <sz val="10"/>
            <rFont val="Arial"/>
            <family val="2"/>
          </rPr>
          <t xml:space="preserve">Trade Difference = Total Purchase - Trade Allowance</t>
        </r>
      </text>
    </comment>
    <comment ref="H36" authorId="0">
      <text>
        <r>
          <rPr>
            <sz val="10"/>
            <rFont val="WenQuanYi Zen Hei"/>
            <family val="2"/>
          </rPr>
          <t xml:space="preserve">州・郡市の合計税率を入力（例</t>
        </r>
        <r>
          <rPr>
            <sz val="10"/>
            <rFont val="Arial"/>
            <family val="2"/>
          </rPr>
          <t xml:space="preserve">: 6.25% </t>
        </r>
        <r>
          <rPr>
            <sz val="10"/>
            <rFont val="WenQuanYi Zen Hei"/>
            <family val="2"/>
          </rPr>
          <t xml:space="preserve">なら </t>
        </r>
        <r>
          <rPr>
            <sz val="10"/>
            <rFont val="Arial"/>
            <family val="2"/>
          </rPr>
          <t xml:space="preserve">6.25% </t>
        </r>
        <r>
          <rPr>
            <sz val="10"/>
            <rFont val="WenQuanYi Zen Hei"/>
            <family val="2"/>
          </rPr>
          <t xml:space="preserve">または </t>
        </r>
        <r>
          <rPr>
            <sz val="10"/>
            <rFont val="Arial"/>
            <family val="2"/>
          </rPr>
          <t xml:space="preserve">0.0625</t>
        </r>
        <r>
          <rPr>
            <sz val="10"/>
            <rFont val="WenQuanYi Zen Hei"/>
            <family val="2"/>
          </rPr>
          <t xml:space="preserve">）。空欄なら税額 </t>
        </r>
        <r>
          <rPr>
            <sz val="10"/>
            <rFont val="Arial"/>
            <family val="2"/>
          </rPr>
          <t xml:space="preserve">0</t>
        </r>
        <r>
          <rPr>
            <sz val="10"/>
            <rFont val="WenQuanYi Zen Hei"/>
            <family val="2"/>
          </rPr>
          <t xml:space="preserve">。</t>
        </r>
      </text>
    </comment>
    <comment ref="H37" authorId="0">
      <text>
        <r>
          <rPr>
            <sz val="10"/>
            <rFont val="Arial"/>
            <family val="2"/>
          </rPr>
          <t xml:space="preserve">Sales Tax = Trade Difference x Tax Rate
</t>
        </r>
        <r>
          <rPr>
            <sz val="10"/>
            <rFont val="WenQuanYi Zen Hei"/>
            <family val="2"/>
          </rPr>
          <t xml:space="preserve">課税ベースを </t>
        </r>
        <r>
          <rPr>
            <sz val="10"/>
            <rFont val="Arial"/>
            <family val="2"/>
          </rPr>
          <t xml:space="preserve">Trade Difference</t>
        </r>
        <r>
          <rPr>
            <sz val="10"/>
            <rFont val="WenQuanYi Zen Hei"/>
            <family val="2"/>
          </rPr>
          <t xml:space="preserve">（下取差額）としています。
元の伝票にはない行です。</t>
        </r>
        <r>
          <rPr>
            <sz val="10"/>
            <rFont val="Arial"/>
            <family val="2"/>
          </rPr>
          <t xml:space="preserve">Tax Rate </t>
        </r>
        <r>
          <rPr>
            <sz val="10"/>
            <rFont val="WenQuanYi Zen Hei"/>
            <family val="2"/>
          </rPr>
          <t xml:space="preserve">を空欄のままにすれば </t>
        </r>
        <r>
          <rPr>
            <sz val="10"/>
            <rFont val="Arial"/>
            <family val="2"/>
          </rPr>
          <t xml:space="preserve">Sales Tax = $0.00 </t>
        </r>
        <r>
          <rPr>
            <sz val="10"/>
            <rFont val="WenQuanYi Zen Hei"/>
            <family val="2"/>
          </rPr>
          <t xml:space="preserve">となり、
元の伝票と同じ結果になります。別ベースにする場合はこの式を書き換えてください。</t>
        </r>
      </text>
    </comment>
    <comment ref="H38" authorId="0">
      <text>
        <r>
          <rPr>
            <sz val="10"/>
            <rFont val="Arial"/>
            <family val="2"/>
          </rPr>
          <t xml:space="preserve">Total Price = Trade Difference + Doc Fee + Insp Fee + License/Title + Registration Fee + Sales Tax</t>
        </r>
      </text>
    </comment>
    <comment ref="H39" authorId="0">
      <text>
        <r>
          <rPr>
            <sz val="10"/>
            <rFont val="Arial"/>
            <family val="2"/>
          </rPr>
          <t xml:space="preserve">Trade Payoff = Trade In section Payoff (G13) </t>
        </r>
        <r>
          <rPr>
            <sz val="10"/>
            <rFont val="WenQuanYi Zen Hei"/>
            <family val="2"/>
          </rPr>
          <t xml:space="preserve">を参照。
写真では両方 </t>
        </r>
        <r>
          <rPr>
            <sz val="10"/>
            <rFont val="Arial"/>
            <family val="2"/>
          </rPr>
          <t xml:space="preserve">$0.00 </t>
        </r>
        <r>
          <rPr>
            <sz val="10"/>
            <rFont val="WenQuanYi Zen Hei"/>
            <family val="2"/>
          </rPr>
          <t xml:space="preserve">のため同値と推定。別値にする場合は直接入力で上書き可。</t>
        </r>
      </text>
    </comment>
    <comment ref="H41" authorId="0">
      <text>
        <r>
          <rPr>
            <sz val="10"/>
            <rFont val="Arial"/>
            <family val="2"/>
          </rPr>
          <t xml:space="preserve">Balance = Total Price + Trade Payoff - Deposit</t>
        </r>
      </text>
    </comment>
  </commentList>
</comments>
</file>

<file path=xl/sharedStrings.xml><?xml version="1.0" encoding="utf-8"?>
<sst xmlns="http://schemas.openxmlformats.org/spreadsheetml/2006/main" count="106" uniqueCount="98">
  <si>
    <t xml:space="preserve">Date:</t>
  </si>
  <si>
    <t xml:space="preserve">Salesperson:</t>
  </si>
  <si>
    <t xml:space="preserve">Manager:</t>
  </si>
  <si>
    <t xml:space="preserve">Customer</t>
  </si>
  <si>
    <t xml:space="preserve">Name:</t>
  </si>
  <si>
    <t xml:space="preserve">Phone:</t>
  </si>
  <si>
    <t xml:space="preserve">Address:</t>
  </si>
  <si>
    <t xml:space="preserve">Work:</t>
  </si>
  <si>
    <t xml:space="preserve">Email:</t>
  </si>
  <si>
    <t xml:space="preserve">Cell:</t>
  </si>
  <si>
    <t xml:space="preserve">Vehicle</t>
  </si>
  <si>
    <t xml:space="preserve">Trade In</t>
  </si>
  <si>
    <t xml:space="preserve">Stock:</t>
  </si>
  <si>
    <t xml:space="preserve">New/Used:</t>
  </si>
  <si>
    <t xml:space="preserve">Payoff:</t>
  </si>
  <si>
    <t xml:space="preserve">VIN:</t>
  </si>
  <si>
    <t xml:space="preserve">Vehicle:</t>
  </si>
  <si>
    <t xml:space="preserve">Type:</t>
  </si>
  <si>
    <t xml:space="preserve">Mileage:</t>
  </si>
  <si>
    <t xml:space="preserve">Color:</t>
  </si>
  <si>
    <t xml:space="preserve">Cash Option</t>
  </si>
  <si>
    <t xml:space="preserve">Market Value:</t>
  </si>
  <si>
    <t xml:space="preserve">Discount:</t>
  </si>
  <si>
    <t xml:space="preserve">Selling Price:</t>
  </si>
  <si>
    <t xml:space="preserve">Ppf :</t>
  </si>
  <si>
    <t xml:space="preserve">Protection Plan Int/Ext/Kr:</t>
  </si>
  <si>
    <t xml:space="preserve">Screen Defender:</t>
  </si>
  <si>
    <t xml:space="preserve">Spray In Bed Liner:</t>
  </si>
  <si>
    <t xml:space="preserve">Window Tint:</t>
  </si>
  <si>
    <t xml:space="preserve">Total Purchase:</t>
  </si>
  <si>
    <t xml:space="preserve">Trade Allowance:</t>
  </si>
  <si>
    <t xml:space="preserve">Trade Difference</t>
  </si>
  <si>
    <t xml:space="preserve">Doc Fee:</t>
  </si>
  <si>
    <t xml:space="preserve">Insp Fee:</t>
  </si>
  <si>
    <t xml:space="preserve">License / Title:</t>
  </si>
  <si>
    <t xml:space="preserve">Registration Fee:</t>
  </si>
  <si>
    <t xml:space="preserve">Tax Rate:</t>
  </si>
  <si>
    <t xml:space="preserve">Sales Tax:</t>
  </si>
  <si>
    <t xml:space="preserve">Total Price:</t>
  </si>
  <si>
    <t xml:space="preserve">EXCELLENT AUTO SALES AND LEASING</t>
  </si>
  <si>
    <t xml:space="preserve">Trade Payoff:</t>
  </si>
  <si>
    <t xml:space="preserve">6419 ALONDRA BLVD PARAMOUNT CA 90723</t>
  </si>
  <si>
    <t xml:space="preserve">Deposit:</t>
  </si>
  <si>
    <t xml:space="preserve">Tel: (310)906-8117    Fax: (562)529-7997</t>
  </si>
  <si>
    <t xml:space="preserve">Balance:</t>
  </si>
  <si>
    <t xml:space="preserve">Customer Approval:</t>
  </si>
  <si>
    <t xml:space="preserve">Management Approval:</t>
  </si>
  <si>
    <t xml:space="preserve">By signing this authorization form, you certify that the above personal information is correct and accurate, and authorize the release of credit and employment information. By signing above, I provide to the dealership and its affiliates consent to communicate with me about my vehicle or any future vehicles using electronic verbal and written communications including but not limited to email, text messaging, SMS, phone calls and direct mail. Terms and conditions subject to credit approval. For information only. This is not an offer or contract for sale.</t>
  </si>
  <si>
    <r>
      <rPr>
        <i val="true"/>
        <sz val="8"/>
        <color rgb="FF555555"/>
        <rFont val="WenQuanYi Zen Hei"/>
        <family val="2"/>
      </rPr>
      <t xml:space="preserve">凡例 </t>
    </r>
    <r>
      <rPr>
        <i val="true"/>
        <sz val="8"/>
        <color rgb="FF555555"/>
        <rFont val="Arial"/>
        <family val="0"/>
        <charset val="1"/>
      </rPr>
      <t xml:space="preserve">/ Legend:  </t>
    </r>
    <r>
      <rPr>
        <i val="true"/>
        <sz val="8"/>
        <color rgb="FF555555"/>
        <rFont val="WenQuanYi Zen Hei"/>
        <family val="2"/>
      </rPr>
      <t xml:space="preserve">青文字 </t>
    </r>
    <r>
      <rPr>
        <i val="true"/>
        <sz val="8"/>
        <color rgb="FF555555"/>
        <rFont val="Arial"/>
        <family val="0"/>
        <charset val="1"/>
      </rPr>
      <t xml:space="preserve">= </t>
    </r>
    <r>
      <rPr>
        <i val="true"/>
        <sz val="8"/>
        <color rgb="FF555555"/>
        <rFont val="WenQuanYi Zen Hei"/>
        <family val="2"/>
      </rPr>
      <t xml:space="preserve">手入力セル </t>
    </r>
    <r>
      <rPr>
        <i val="true"/>
        <sz val="8"/>
        <color rgb="FF555555"/>
        <rFont val="Arial"/>
        <family val="0"/>
        <charset val="1"/>
      </rPr>
      <t xml:space="preserve">(input)   </t>
    </r>
    <r>
      <rPr>
        <i val="true"/>
        <sz val="8"/>
        <color rgb="FF555555"/>
        <rFont val="WenQuanYi Zen Hei"/>
        <family val="2"/>
      </rPr>
      <t xml:space="preserve">黒文字 </t>
    </r>
    <r>
      <rPr>
        <i val="true"/>
        <sz val="8"/>
        <color rgb="FF555555"/>
        <rFont val="Arial"/>
        <family val="0"/>
        <charset val="1"/>
      </rPr>
      <t xml:space="preserve">= </t>
    </r>
    <r>
      <rPr>
        <i val="true"/>
        <sz val="8"/>
        <color rgb="FF555555"/>
        <rFont val="WenQuanYi Zen Hei"/>
        <family val="2"/>
      </rPr>
      <t xml:space="preserve">自動計算 </t>
    </r>
    <r>
      <rPr>
        <i val="true"/>
        <sz val="8"/>
        <color rgb="FF555555"/>
        <rFont val="Arial"/>
        <family val="0"/>
        <charset val="1"/>
      </rPr>
      <t xml:space="preserve">(formula, </t>
    </r>
    <r>
      <rPr>
        <i val="true"/>
        <sz val="8"/>
        <color rgb="FF555555"/>
        <rFont val="WenQuanYi Zen Hei"/>
        <family val="2"/>
      </rPr>
      <t xml:space="preserve">編集しないでください</t>
    </r>
    <r>
      <rPr>
        <i val="true"/>
        <sz val="8"/>
        <color rgb="FF555555"/>
        <rFont val="Arial"/>
        <family val="0"/>
        <charset val="1"/>
      </rPr>
      <t xml:space="preserve">)   </t>
    </r>
    <r>
      <rPr>
        <i val="true"/>
        <sz val="8"/>
        <color rgb="FF555555"/>
        <rFont val="WenQuanYi Zen Hei"/>
        <family val="2"/>
      </rPr>
      <t xml:space="preserve">ロゴ画像は右クリック →「図の変更」で差し替え</t>
    </r>
  </si>
  <si>
    <r>
      <rPr>
        <b val="true"/>
        <sz val="14"/>
        <color rgb="FF000000"/>
        <rFont val="Arial"/>
        <family val="0"/>
        <charset val="1"/>
      </rPr>
      <t xml:space="preserve">Buyers Order Worksheet — </t>
    </r>
    <r>
      <rPr>
        <b val="true"/>
        <sz val="14"/>
        <color rgb="FF000000"/>
        <rFont val="WenQuanYi Zen Hei"/>
        <family val="2"/>
      </rPr>
      <t xml:space="preserve">テンプレート</t>
    </r>
  </si>
  <si>
    <t xml:space="preserve">通貨</t>
  </si>
  <si>
    <r>
      <rPr>
        <sz val="10"/>
        <color rgb="FF000000"/>
        <rFont val="WenQuanYi Zen Hei"/>
        <family val="2"/>
      </rPr>
      <t xml:space="preserve">すべて米ドル </t>
    </r>
    <r>
      <rPr>
        <sz val="10"/>
        <color rgb="FF000000"/>
        <rFont val="Arial"/>
        <family val="0"/>
        <charset val="1"/>
      </rPr>
      <t xml:space="preserve">(USD)</t>
    </r>
    <r>
      <rPr>
        <sz val="10"/>
        <color rgb="FF000000"/>
        <rFont val="WenQuanYi Zen Hei"/>
        <family val="2"/>
      </rPr>
      <t xml:space="preserve">。表示形式 </t>
    </r>
    <r>
      <rPr>
        <sz val="10"/>
        <color rgb="FF000000"/>
        <rFont val="Arial"/>
        <family val="0"/>
        <charset val="1"/>
      </rPr>
      <t xml:space="preserve">$#,##0.00 / </t>
    </r>
    <r>
      <rPr>
        <sz val="10"/>
        <color rgb="FF000000"/>
        <rFont val="WenQuanYi Zen Hei"/>
        <family val="2"/>
      </rPr>
      <t xml:space="preserve">控除行は </t>
    </r>
    <r>
      <rPr>
        <sz val="10"/>
        <color rgb="FF000000"/>
        <rFont val="Arial"/>
        <family val="0"/>
        <charset val="1"/>
      </rPr>
      <t xml:space="preserve">($#,##0.00)</t>
    </r>
    <r>
      <rPr>
        <sz val="10"/>
        <color rgb="FF000000"/>
        <rFont val="WenQuanYi Zen Hei"/>
        <family val="2"/>
      </rPr>
      <t xml:space="preserve">。</t>
    </r>
  </si>
  <si>
    <t xml:space="preserve">■ ロゴ（エンブレム）の差し替え</t>
  </si>
  <si>
    <t xml:space="preserve">手順</t>
  </si>
  <si>
    <r>
      <rPr>
        <sz val="10"/>
        <color rgb="FF000000"/>
        <rFont val="WenQuanYi Zen Hei"/>
        <family val="2"/>
      </rPr>
      <t xml:space="preserve">「</t>
    </r>
    <r>
      <rPr>
        <sz val="10"/>
        <color rgb="FF000000"/>
        <rFont val="Arial"/>
        <family val="0"/>
        <charset val="1"/>
      </rPr>
      <t xml:space="preserve">Buyers Order</t>
    </r>
    <r>
      <rPr>
        <sz val="10"/>
        <color rgb="FF000000"/>
        <rFont val="WenQuanYi Zen Hei"/>
        <family val="2"/>
      </rPr>
      <t xml:space="preserve">」シート左上のロゴ画像を右クリック →「図の変更」→「ファイルから」で任意の画像を選択。位置・サイズは維持されます。</t>
    </r>
  </si>
  <si>
    <r>
      <rPr>
        <sz val="10"/>
        <color rgb="FF000000"/>
        <rFont val="Arial"/>
        <family val="0"/>
        <charset val="1"/>
      </rPr>
      <t xml:space="preserve">2</t>
    </r>
    <r>
      <rPr>
        <sz val="10"/>
        <color rgb="FF000000"/>
        <rFont val="WenQuanYi Zen Hei"/>
        <family val="2"/>
      </rPr>
      <t xml:space="preserve">枚（</t>
    </r>
    <r>
      <rPr>
        <sz val="10"/>
        <color rgb="FF000000"/>
        <rFont val="Arial"/>
        <family val="0"/>
        <charset val="1"/>
      </rPr>
      <t xml:space="preserve">LOGO 1 / LOGO 2</t>
    </r>
    <r>
      <rPr>
        <sz val="10"/>
        <color rgb="FF000000"/>
        <rFont val="WenQuanYi Zen Hei"/>
        <family val="2"/>
      </rPr>
      <t xml:space="preserve">）を独立して差し替え可能。不要な方は選択して </t>
    </r>
    <r>
      <rPr>
        <sz val="10"/>
        <color rgb="FF000000"/>
        <rFont val="Arial"/>
        <family val="0"/>
        <charset val="1"/>
      </rPr>
      <t xml:space="preserve">Delete </t>
    </r>
    <r>
      <rPr>
        <sz val="10"/>
        <color rgb="FF000000"/>
        <rFont val="WenQuanYi Zen Hei"/>
        <family val="2"/>
      </rPr>
      <t xml:space="preserve">で削除できます。</t>
    </r>
  </si>
  <si>
    <r>
      <rPr>
        <sz val="10"/>
        <color rgb="FF000000"/>
        <rFont val="Arial"/>
        <family val="0"/>
        <charset val="1"/>
      </rPr>
      <t xml:space="preserve">Mac</t>
    </r>
    <r>
      <rPr>
        <sz val="10"/>
        <color rgb="FF000000"/>
        <rFont val="WenQuanYi Zen Hei"/>
        <family val="2"/>
      </rPr>
      <t xml:space="preserve">版 </t>
    </r>
    <r>
      <rPr>
        <sz val="10"/>
        <color rgb="FF000000"/>
        <rFont val="Arial"/>
        <family val="0"/>
        <charset val="1"/>
      </rPr>
      <t xml:space="preserve">Excel </t>
    </r>
    <r>
      <rPr>
        <sz val="10"/>
        <color rgb="FF000000"/>
        <rFont val="WenQuanYi Zen Hei"/>
        <family val="2"/>
      </rPr>
      <t xml:space="preserve">は「図の変更」、</t>
    </r>
    <r>
      <rPr>
        <sz val="10"/>
        <color rgb="FF000000"/>
        <rFont val="Arial"/>
        <family val="0"/>
        <charset val="1"/>
      </rPr>
      <t xml:space="preserve">Google </t>
    </r>
    <r>
      <rPr>
        <sz val="10"/>
        <color rgb="FF000000"/>
        <rFont val="WenQuanYi Zen Hei"/>
        <family val="2"/>
      </rPr>
      <t xml:space="preserve">スプレッドシートは画像を選択 →「画像を置換」。</t>
    </r>
  </si>
  <si>
    <t xml:space="preserve">■ セルの色分け</t>
  </si>
  <si>
    <t xml:space="preserve">青文字</t>
  </si>
  <si>
    <t xml:space="preserve">手入力セル。ここだけを入力してください。</t>
  </si>
  <si>
    <t xml:space="preserve">黒文字</t>
  </si>
  <si>
    <t xml:space="preserve">計算式セル。自動計算されるので編集しないでください。</t>
  </si>
  <si>
    <t xml:space="preserve">■ 組み込んだ計算式（写真から読み取れる範囲）</t>
  </si>
  <si>
    <t xml:space="preserve">Selling Price</t>
  </si>
  <si>
    <t xml:space="preserve">= Market Value − Discount</t>
  </si>
  <si>
    <r>
      <rPr>
        <sz val="9"/>
        <color rgb="FF666666"/>
        <rFont val="WenQuanYi Zen Hei"/>
        <family val="2"/>
      </rPr>
      <t xml:space="preserve">例</t>
    </r>
    <r>
      <rPr>
        <sz val="9"/>
        <color rgb="FF666666"/>
        <rFont val="Arial"/>
        <family val="0"/>
        <charset val="1"/>
      </rPr>
      <t xml:space="preserve">: 58,805.00 − 3,000.00 = 55,805.00</t>
    </r>
  </si>
  <si>
    <t xml:space="preserve">Total Purchase</t>
  </si>
  <si>
    <t xml:space="preserve">= Selling Price + Ppf + Protection Plan + Screen Defender + Spray In Bed Liner + Window Tint</t>
  </si>
  <si>
    <r>
      <rPr>
        <sz val="9"/>
        <color rgb="FF666666"/>
        <rFont val="WenQuanYi Zen Hei"/>
        <family val="2"/>
      </rPr>
      <t xml:space="preserve">例</t>
    </r>
    <r>
      <rPr>
        <sz val="9"/>
        <color rgb="FF666666"/>
        <rFont val="Arial"/>
        <family val="0"/>
        <charset val="1"/>
      </rPr>
      <t xml:space="preserve">: 55,805 + 695 + 1,995 + 599 + 795 + 595 = 60,484.00</t>
    </r>
  </si>
  <si>
    <t xml:space="preserve">= Total Purchase − Trade Allowance</t>
  </si>
  <si>
    <r>
      <rPr>
        <sz val="9"/>
        <color rgb="FF666666"/>
        <rFont val="WenQuanYi Zen Hei"/>
        <family val="2"/>
      </rPr>
      <t xml:space="preserve">例</t>
    </r>
    <r>
      <rPr>
        <sz val="9"/>
        <color rgb="FF666666"/>
        <rFont val="Arial"/>
        <family val="0"/>
        <charset val="1"/>
      </rPr>
      <t xml:space="preserve">: 60,484.00 − 0.00 = 60,484.00</t>
    </r>
  </si>
  <si>
    <t xml:space="preserve">Sales Tax</t>
  </si>
  <si>
    <t xml:space="preserve">= Trade Difference × Tax Rate</t>
  </si>
  <si>
    <r>
      <rPr>
        <sz val="9"/>
        <color rgb="FF666666"/>
        <rFont val="WenQuanYi Zen Hei"/>
        <family val="2"/>
      </rPr>
      <t xml:space="preserve">課税ベースは </t>
    </r>
    <r>
      <rPr>
        <sz val="9"/>
        <color rgb="FF666666"/>
        <rFont val="Arial"/>
        <family val="0"/>
        <charset val="1"/>
      </rPr>
      <t xml:space="preserve">Trade Difference</t>
    </r>
    <r>
      <rPr>
        <sz val="9"/>
        <color rgb="FF666666"/>
        <rFont val="WenQuanYi Zen Hei"/>
        <family val="2"/>
      </rPr>
      <t xml:space="preserve">（下取差額）。</t>
    </r>
    <r>
      <rPr>
        <sz val="9"/>
        <color rgb="FF666666"/>
        <rFont val="Arial"/>
        <family val="0"/>
        <charset val="1"/>
      </rPr>
      <t xml:space="preserve">Tax Rate </t>
    </r>
    <r>
      <rPr>
        <sz val="9"/>
        <color rgb="FF666666"/>
        <rFont val="WenQuanYi Zen Hei"/>
        <family val="2"/>
      </rPr>
      <t xml:space="preserve">を空欄にすれば </t>
    </r>
    <r>
      <rPr>
        <sz val="9"/>
        <color rgb="FF666666"/>
        <rFont val="Arial"/>
        <family val="0"/>
        <charset val="1"/>
      </rPr>
      <t xml:space="preserve">$0.00</t>
    </r>
    <r>
      <rPr>
        <sz val="9"/>
        <color rgb="FF666666"/>
        <rFont val="WenQuanYi Zen Hei"/>
        <family val="2"/>
      </rPr>
      <t xml:space="preserve">。</t>
    </r>
  </si>
  <si>
    <t xml:space="preserve">Total Price</t>
  </si>
  <si>
    <t xml:space="preserve">= Trade Difference + Doc Fee + Insp Fee + License/Title + Registration Fee + Sales Tax</t>
  </si>
  <si>
    <r>
      <rPr>
        <sz val="9"/>
        <color rgb="FF666666"/>
        <rFont val="WenQuanYi Zen Hei"/>
        <family val="2"/>
      </rPr>
      <t xml:space="preserve">例</t>
    </r>
    <r>
      <rPr>
        <sz val="9"/>
        <color rgb="FF666666"/>
        <rFont val="Arial"/>
        <family val="0"/>
        <charset val="1"/>
      </rPr>
      <t xml:space="preserve">: 60,484 + 225 + 123.75 + 271.75 + 121.25 + 0 = 61,225.75</t>
    </r>
  </si>
  <si>
    <t xml:space="preserve">Trade Payoff</t>
  </si>
  <si>
    <r>
      <rPr>
        <sz val="10"/>
        <color rgb="FF000000"/>
        <rFont val="Arial"/>
        <family val="0"/>
        <charset val="1"/>
      </rPr>
      <t xml:space="preserve">= Trade In </t>
    </r>
    <r>
      <rPr>
        <sz val="10"/>
        <color rgb="FF000000"/>
        <rFont val="WenQuanYi Zen Hei"/>
        <family val="2"/>
      </rPr>
      <t xml:space="preserve">欄の </t>
    </r>
    <r>
      <rPr>
        <sz val="10"/>
        <color rgb="FF000000"/>
        <rFont val="Arial"/>
        <family val="0"/>
        <charset val="1"/>
      </rPr>
      <t xml:space="preserve">Payoff </t>
    </r>
    <r>
      <rPr>
        <sz val="10"/>
        <color rgb="FF000000"/>
        <rFont val="WenQuanYi Zen Hei"/>
        <family val="2"/>
      </rPr>
      <t xml:space="preserve">を参照</t>
    </r>
  </si>
  <si>
    <r>
      <rPr>
        <sz val="9"/>
        <color rgb="FF666666"/>
        <rFont val="WenQuanYi Zen Hei"/>
        <family val="2"/>
      </rPr>
      <t xml:space="preserve">写真では両方 </t>
    </r>
    <r>
      <rPr>
        <sz val="9"/>
        <color rgb="FF666666"/>
        <rFont val="Arial"/>
        <family val="0"/>
        <charset val="1"/>
      </rPr>
      <t xml:space="preserve">$0.00</t>
    </r>
    <r>
      <rPr>
        <sz val="9"/>
        <color rgb="FF666666"/>
        <rFont val="WenQuanYi Zen Hei"/>
        <family val="2"/>
      </rPr>
      <t xml:space="preserve">。別値にする場合は上書き入力可（推定）。</t>
    </r>
  </si>
  <si>
    <t xml:space="preserve">Balance</t>
  </si>
  <si>
    <t xml:space="preserve">= Total Price + Trade Payoff − Deposit</t>
  </si>
  <si>
    <r>
      <rPr>
        <sz val="9"/>
        <color rgb="FF666666"/>
        <rFont val="WenQuanYi Zen Hei"/>
        <family val="2"/>
      </rPr>
      <t xml:space="preserve">例</t>
    </r>
    <r>
      <rPr>
        <sz val="9"/>
        <color rgb="FF666666"/>
        <rFont val="Arial"/>
        <family val="0"/>
        <charset val="1"/>
      </rPr>
      <t xml:space="preserve">: 61,225.75 + 0.00 − 0.00 = 61,225.75</t>
    </r>
  </si>
  <si>
    <t xml:space="preserve">= Balance</t>
  </si>
  <si>
    <r>
      <rPr>
        <sz val="9"/>
        <color rgb="FF666666"/>
        <rFont val="WenQuanYi Zen Hei"/>
        <family val="2"/>
      </rPr>
      <t xml:space="preserve">例</t>
    </r>
    <r>
      <rPr>
        <sz val="9"/>
        <color rgb="FF666666"/>
        <rFont val="Arial"/>
        <family val="0"/>
        <charset val="1"/>
      </rPr>
      <t xml:space="preserve">: 61,225.75</t>
    </r>
  </si>
  <si>
    <t xml:space="preserve">■ 手入力項目（計算式なし）</t>
  </si>
  <si>
    <t xml:space="preserve">車両情報</t>
  </si>
  <si>
    <r>
      <rPr>
        <sz val="10"/>
        <color rgb="FF000000"/>
        <rFont val="Arial"/>
        <family val="0"/>
        <charset val="1"/>
      </rPr>
      <t xml:space="preserve">Stock / New-Used / VIN / Vehicle / Type / Mileage / Color</t>
    </r>
    <r>
      <rPr>
        <sz val="10"/>
        <color rgb="FF000000"/>
        <rFont val="WenQuanYi Zen Hei"/>
        <family val="2"/>
      </rPr>
      <t xml:space="preserve">、</t>
    </r>
    <r>
      <rPr>
        <sz val="10"/>
        <color rgb="FF000000"/>
        <rFont val="Arial"/>
        <family val="0"/>
        <charset val="1"/>
      </rPr>
      <t xml:space="preserve">Trade In </t>
    </r>
    <r>
      <rPr>
        <sz val="10"/>
        <color rgb="FF000000"/>
        <rFont val="WenQuanYi Zen Hei"/>
        <family val="2"/>
      </rPr>
      <t xml:space="preserve">各欄</t>
    </r>
  </si>
  <si>
    <t xml:space="preserve">金額</t>
  </si>
  <si>
    <t xml:space="preserve">Market Value, Discount, Ppf, Protection Plan, Screen Defender, Spray In Bed Liner, Window Tint,</t>
  </si>
  <si>
    <t xml:space="preserve">Trade Allowance, Doc Fee, Insp Fee, License / Title, Registration Fee, Deposit</t>
  </si>
  <si>
    <t xml:space="preserve">注記</t>
  </si>
  <si>
    <r>
      <rPr>
        <sz val="10"/>
        <color rgb="FF000000"/>
        <rFont val="Arial"/>
        <family val="0"/>
        <charset val="1"/>
      </rPr>
      <t xml:space="preserve">Insp Fee / License / Title / Registration Fee </t>
    </r>
    <r>
      <rPr>
        <sz val="10"/>
        <color rgb="FF000000"/>
        <rFont val="WenQuanYi Zen Hei"/>
        <family val="2"/>
      </rPr>
      <t xml:space="preserve">は州・車両ごとに変わり、写真からは算出根拠が読み取れないため手入力にしています。</t>
    </r>
  </si>
  <si>
    <r>
      <rPr>
        <sz val="10"/>
        <color rgb="FF000000"/>
        <rFont val="WenQuanYi Zen Hei"/>
        <family val="2"/>
      </rPr>
      <t xml:space="preserve">元の伝票にはない行ですが、あらかじめ用意してあります。</t>
    </r>
    <r>
      <rPr>
        <sz val="10"/>
        <color rgb="FF000000"/>
        <rFont val="Arial"/>
        <family val="0"/>
        <charset val="1"/>
      </rPr>
      <t xml:space="preserve">Tax Rate</t>
    </r>
    <r>
      <rPr>
        <sz val="10"/>
        <color rgb="FF000000"/>
        <rFont val="WenQuanYi Zen Hei"/>
        <family val="2"/>
      </rPr>
      <t xml:space="preserve">（青文字の記入欄）に州・郡市の合計税率を入力すると自動計算され、</t>
    </r>
  </si>
  <si>
    <r>
      <rPr>
        <sz val="10"/>
        <color rgb="FF000000"/>
        <rFont val="Arial"/>
        <family val="0"/>
        <charset val="1"/>
      </rPr>
      <t xml:space="preserve">Total Price </t>
    </r>
    <r>
      <rPr>
        <sz val="10"/>
        <color rgb="FF000000"/>
        <rFont val="WenQuanYi Zen Hei"/>
        <family val="2"/>
      </rPr>
      <t xml:space="preserve">に加算されます。空欄のままなら税額 </t>
    </r>
    <r>
      <rPr>
        <sz val="10"/>
        <color rgb="FF000000"/>
        <rFont val="Arial"/>
        <family val="0"/>
        <charset val="1"/>
      </rPr>
      <t xml:space="preserve">$0.00 </t>
    </r>
    <r>
      <rPr>
        <sz val="10"/>
        <color rgb="FF000000"/>
        <rFont val="WenQuanYi Zen Hei"/>
        <family val="2"/>
      </rPr>
      <t xml:space="preserve">で、元の伝票と完全に同じ結果になります。</t>
    </r>
  </si>
  <si>
    <r>
      <rPr>
        <sz val="10"/>
        <color rgb="FF000000"/>
        <rFont val="WenQuanYi Zen Hei"/>
        <family val="2"/>
      </rPr>
      <t xml:space="preserve">課税ベースは </t>
    </r>
    <r>
      <rPr>
        <sz val="10"/>
        <color rgb="FF000000"/>
        <rFont val="Arial"/>
        <family val="0"/>
        <charset val="1"/>
      </rPr>
      <t xml:space="preserve">Trade Difference</t>
    </r>
    <r>
      <rPr>
        <sz val="10"/>
        <color rgb="FF000000"/>
        <rFont val="WenQuanYi Zen Hei"/>
        <family val="2"/>
      </rPr>
      <t xml:space="preserve">（下取差額）。州によって </t>
    </r>
    <r>
      <rPr>
        <sz val="10"/>
        <color rgb="FF000000"/>
        <rFont val="Arial"/>
        <family val="0"/>
        <charset val="1"/>
      </rPr>
      <t xml:space="preserve">Total Purchase </t>
    </r>
    <r>
      <rPr>
        <sz val="10"/>
        <color rgb="FF000000"/>
        <rFont val="WenQuanYi Zen Hei"/>
        <family val="2"/>
      </rPr>
      <t xml:space="preserve">基準の場合は </t>
    </r>
    <r>
      <rPr>
        <sz val="10"/>
        <color rgb="FF000000"/>
        <rFont val="Arial"/>
        <family val="0"/>
        <charset val="1"/>
      </rPr>
      <t xml:space="preserve">Sales Tax </t>
    </r>
    <r>
      <rPr>
        <sz val="10"/>
        <color rgb="FF000000"/>
        <rFont val="WenQuanYi Zen Hei"/>
        <family val="2"/>
      </rPr>
      <t xml:space="preserve">セルの式を書き換えてください。</t>
    </r>
  </si>
  <si>
    <t xml:space="preserve">■ 検算</t>
  </si>
  <si>
    <r>
      <rPr>
        <sz val="10"/>
        <color rgb="FF000000"/>
        <rFont val="Arial"/>
        <family val="0"/>
        <charset val="1"/>
      </rPr>
      <t xml:space="preserve">Market Value 58,805 / Discount 3,000 </t>
    </r>
    <r>
      <rPr>
        <sz val="10"/>
        <color rgb="FF000000"/>
        <rFont val="WenQuanYi Zen Hei"/>
        <family val="2"/>
      </rPr>
      <t xml:space="preserve">ほか写真の数値を入力すると、</t>
    </r>
    <r>
      <rPr>
        <sz val="10"/>
        <color rgb="FF000000"/>
        <rFont val="Arial"/>
        <family val="0"/>
        <charset val="1"/>
      </rPr>
      <t xml:space="preserve">Total Price</t>
    </r>
    <r>
      <rPr>
        <sz val="10"/>
        <color rgb="FF000000"/>
        <rFont val="WenQuanYi Zen Hei"/>
        <family val="2"/>
      </rPr>
      <t xml:space="preserve">・</t>
    </r>
    <r>
      <rPr>
        <sz val="10"/>
        <color rgb="FF000000"/>
        <rFont val="Arial"/>
        <family val="0"/>
        <charset val="1"/>
      </rPr>
      <t xml:space="preserve">Balance</t>
    </r>
    <r>
      <rPr>
        <sz val="10"/>
        <color rgb="FF000000"/>
        <rFont val="WenQuanYi Zen Hei"/>
        <family val="2"/>
      </rPr>
      <t xml:space="preserve">・</t>
    </r>
    <r>
      <rPr>
        <sz val="10"/>
        <color rgb="FF000000"/>
        <rFont val="Arial"/>
        <family val="0"/>
        <charset val="1"/>
      </rPr>
      <t xml:space="preserve">Cash Option </t>
    </r>
    <r>
      <rPr>
        <sz val="10"/>
        <color rgb="FF000000"/>
        <rFont val="WenQuanYi Zen Hei"/>
        <family val="2"/>
      </rPr>
      <t xml:space="preserve">がいずれも </t>
    </r>
    <r>
      <rPr>
        <sz val="10"/>
        <color rgb="FF000000"/>
        <rFont val="Arial"/>
        <family val="0"/>
        <charset val="1"/>
      </rPr>
      <t xml:space="preserve">$61,225.75 </t>
    </r>
    <r>
      <rPr>
        <sz val="10"/>
        <color rgb="FF000000"/>
        <rFont val="WenQuanYi Zen Hei"/>
        <family val="2"/>
      </rPr>
      <t xml:space="preserve">になります。</t>
    </r>
  </si>
</sst>
</file>

<file path=xl/styles.xml><?xml version="1.0" encoding="utf-8"?>
<styleSheet xmlns="http://schemas.openxmlformats.org/spreadsheetml/2006/main">
  <numFmts count="6">
    <numFmt numFmtId="164" formatCode="General"/>
    <numFmt numFmtId="165" formatCode="mm/dd/yyyy"/>
    <numFmt numFmtId="166" formatCode="\$#,##0.00;&quot;($&quot;#,##0.00\);\$0.00"/>
    <numFmt numFmtId="167" formatCode="#,##0"/>
    <numFmt numFmtId="168" formatCode="&quot;($&quot;#,##0.00\);&quot;($&quot;#,##0.00\);&quot;($0.00)&quot;"/>
    <numFmt numFmtId="169" formatCode="0.000%"/>
  </numFmts>
  <fonts count="24">
    <font>
      <sz val="11"/>
      <color theme="1"/>
      <name val="Calibri"/>
      <family val="2"/>
      <charset val="1"/>
    </font>
    <font>
      <sz val="10"/>
      <name val="Arial"/>
      <family val="0"/>
    </font>
    <font>
      <sz val="10"/>
      <name val="Arial"/>
      <family val="0"/>
    </font>
    <font>
      <sz val="10"/>
      <name val="Arial"/>
      <family val="0"/>
    </font>
    <font>
      <b val="true"/>
      <sz val="10"/>
      <color rgb="FF000000"/>
      <name val="Arial"/>
      <family val="0"/>
      <charset val="1"/>
    </font>
    <font>
      <sz val="10"/>
      <color rgb="FF0000FF"/>
      <name val="Arial"/>
      <family val="0"/>
      <charset val="1"/>
    </font>
    <font>
      <b val="true"/>
      <sz val="13"/>
      <color rgb="FF000000"/>
      <name val="Arial"/>
      <family val="0"/>
      <charset val="1"/>
    </font>
    <font>
      <sz val="12"/>
      <color rgb="FF000000"/>
      <name val="Arial"/>
      <family val="0"/>
      <charset val="1"/>
    </font>
    <font>
      <b val="true"/>
      <sz val="11"/>
      <color rgb="FF000000"/>
      <name val="Arial"/>
      <family val="0"/>
      <charset val="1"/>
    </font>
    <font>
      <sz val="9.5"/>
      <color rgb="FF000000"/>
      <name val="Arial"/>
      <family val="0"/>
      <charset val="1"/>
    </font>
    <font>
      <sz val="7"/>
      <color rgb="FF000000"/>
      <name val="Arial"/>
      <family val="0"/>
      <charset val="1"/>
    </font>
    <font>
      <i val="true"/>
      <sz val="8"/>
      <color rgb="FF555555"/>
      <name val="WenQuanYi Zen Hei"/>
      <family val="2"/>
    </font>
    <font>
      <i val="true"/>
      <sz val="8"/>
      <color rgb="FF555555"/>
      <name val="Arial"/>
      <family val="0"/>
      <charset val="1"/>
    </font>
    <font>
      <sz val="10"/>
      <name val="Arial"/>
      <family val="2"/>
    </font>
    <font>
      <sz val="10"/>
      <name val="WenQuanYi Zen Hei"/>
      <family val="2"/>
    </font>
    <font>
      <b val="true"/>
      <sz val="14"/>
      <color rgb="FF000000"/>
      <name val="Arial"/>
      <family val="0"/>
      <charset val="1"/>
    </font>
    <font>
      <b val="true"/>
      <sz val="14"/>
      <color rgb="FF000000"/>
      <name val="WenQuanYi Zen Hei"/>
      <family val="2"/>
    </font>
    <font>
      <sz val="14"/>
      <color rgb="FF000000"/>
      <name val="Arial"/>
      <family val="0"/>
      <charset val="1"/>
    </font>
    <font>
      <b val="true"/>
      <sz val="10"/>
      <color rgb="FF000000"/>
      <name val="WenQuanYi Zen Hei"/>
      <family val="2"/>
    </font>
    <font>
      <sz val="10"/>
      <color rgb="FF000000"/>
      <name val="WenQuanYi Zen Hei"/>
      <family val="2"/>
    </font>
    <font>
      <sz val="10"/>
      <color rgb="FF000000"/>
      <name val="Arial"/>
      <family val="0"/>
      <charset val="1"/>
    </font>
    <font>
      <b val="true"/>
      <sz val="12"/>
      <color rgb="FF000000"/>
      <name val="WenQuanYi Zen Hei"/>
      <family val="2"/>
    </font>
    <font>
      <sz val="9"/>
      <color rgb="FF666666"/>
      <name val="Arial"/>
      <family val="0"/>
      <charset val="1"/>
    </font>
    <font>
      <sz val="9"/>
      <color rgb="FF666666"/>
      <name val="WenQuanYi Zen Hei"/>
      <family val="2"/>
    </font>
  </fonts>
  <fills count="3">
    <fill>
      <patternFill patternType="none"/>
    </fill>
    <fill>
      <patternFill patternType="gray125"/>
    </fill>
    <fill>
      <patternFill patternType="solid">
        <fgColor rgb="FFFFFFFF"/>
        <bgColor rgb="FFFFFFCC"/>
      </patternFill>
    </fill>
  </fills>
  <borders count="6">
    <border diagonalUp="false" diagonalDown="false">
      <left/>
      <right/>
      <top/>
      <bottom/>
      <diagonal/>
    </border>
    <border diagonalUp="false" diagonalDown="false">
      <left/>
      <right/>
      <top/>
      <bottom style="thin"/>
      <diagonal/>
    </border>
    <border diagonalUp="false" diagonalDown="false">
      <left/>
      <right/>
      <top style="thick"/>
      <bottom style="thick"/>
      <diagonal/>
    </border>
    <border diagonalUp="false" diagonalDown="false">
      <left style="medium"/>
      <right style="medium"/>
      <top style="medium"/>
      <bottom style="thin"/>
      <diagonal/>
    </border>
    <border diagonalUp="false" diagonalDown="false">
      <left style="medium"/>
      <right style="medium"/>
      <top style="thin"/>
      <bottom style="mediu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5" fontId="5"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0" borderId="2" xfId="0" applyFont="true" applyBorder="true" applyAlignment="true" applyProtection="false">
      <alignment horizontal="left" vertical="center" textRotation="0" wrapText="false" indent="0" shrinkToFit="false"/>
      <protection locked="true" hidden="false"/>
    </xf>
    <xf numFmtId="166" fontId="5" fillId="2" borderId="1" xfId="0" applyFont="true" applyBorder="true" applyAlignment="true" applyProtection="false">
      <alignment horizontal="left" vertical="center" textRotation="0" wrapText="false" indent="0" shrinkToFit="false"/>
      <protection locked="true" hidden="false"/>
    </xf>
    <xf numFmtId="167" fontId="5" fillId="2" borderId="1" xfId="0" applyFont="true" applyBorder="true" applyAlignment="true" applyProtection="false">
      <alignment horizontal="left" vertical="center" textRotation="0" wrapText="false" indent="0" shrinkToFit="false"/>
      <protection locked="true" hidden="false"/>
    </xf>
    <xf numFmtId="164" fontId="4" fillId="0" borderId="3"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6" fontId="5" fillId="2" borderId="1" xfId="0" applyFont="true" applyBorder="true" applyAlignment="true" applyProtection="false">
      <alignment horizontal="right" vertical="center" textRotation="0" wrapText="false" indent="0" shrinkToFit="false"/>
      <protection locked="true" hidden="false"/>
    </xf>
    <xf numFmtId="166" fontId="7" fillId="0" borderId="4" xfId="0" applyFont="true" applyBorder="true" applyAlignment="true" applyProtection="false">
      <alignment horizontal="center" vertical="center" textRotation="0" wrapText="false" indent="0" shrinkToFit="false"/>
      <protection locked="true" hidden="false"/>
    </xf>
    <xf numFmtId="166" fontId="4" fillId="0" borderId="1" xfId="0" applyFont="true" applyBorder="true" applyAlignment="true" applyProtection="false">
      <alignment horizontal="right" vertical="center" textRotation="0" wrapText="false" indent="0" shrinkToFit="false"/>
      <protection locked="true" hidden="false"/>
    </xf>
    <xf numFmtId="168" fontId="5" fillId="2" borderId="1" xfId="0" applyFont="true" applyBorder="true" applyAlignment="true" applyProtection="false">
      <alignment horizontal="right" vertical="center" textRotation="0" wrapText="false" indent="0" shrinkToFit="false"/>
      <protection locked="true" hidden="false"/>
    </xf>
    <xf numFmtId="169" fontId="5" fillId="2" borderId="1" xfId="0" applyFont="true" applyBorder="true" applyAlignment="true" applyProtection="false">
      <alignment horizontal="right" vertical="center" textRotation="0" wrapText="false" indent="0" shrinkToFit="false"/>
      <protection locked="true" hidden="false"/>
    </xf>
    <xf numFmtId="164" fontId="8" fillId="0" borderId="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38160</xdr:colOff>
      <xdr:row>0</xdr:row>
      <xdr:rowOff>76320</xdr:rowOff>
    </xdr:from>
    <xdr:to>
      <xdr:col>0</xdr:col>
      <xdr:colOff>875880</xdr:colOff>
      <xdr:row>0</xdr:row>
      <xdr:rowOff>390240</xdr:rowOff>
    </xdr:to>
    <xdr:pic>
      <xdr:nvPicPr>
        <xdr:cNvPr id="0" name="Image 1" descr="Picture"/>
        <xdr:cNvPicPr/>
      </xdr:nvPicPr>
      <xdr:blipFill>
        <a:blip r:embed="rId1"/>
        <a:stretch/>
      </xdr:blipFill>
      <xdr:spPr>
        <a:xfrm>
          <a:off x="38160" y="76320"/>
          <a:ext cx="837720" cy="313920"/>
        </a:xfrm>
        <a:prstGeom prst="rect">
          <a:avLst/>
        </a:prstGeom>
        <a:ln w="0">
          <a:noFill/>
        </a:ln>
      </xdr:spPr>
    </xdr:pic>
    <xdr:clientData/>
  </xdr:twoCellAnchor>
  <xdr:twoCellAnchor editAs="oneCell">
    <xdr:from>
      <xdr:col>2</xdr:col>
      <xdr:colOff>57240</xdr:colOff>
      <xdr:row>0</xdr:row>
      <xdr:rowOff>76320</xdr:rowOff>
    </xdr:from>
    <xdr:to>
      <xdr:col>3</xdr:col>
      <xdr:colOff>60120</xdr:colOff>
      <xdr:row>0</xdr:row>
      <xdr:rowOff>380880</xdr:rowOff>
    </xdr:to>
    <xdr:pic>
      <xdr:nvPicPr>
        <xdr:cNvPr id="1" name="Image 2" descr="Picture"/>
        <xdr:cNvPicPr/>
      </xdr:nvPicPr>
      <xdr:blipFill>
        <a:blip r:embed="rId2"/>
        <a:stretch/>
      </xdr:blipFill>
      <xdr:spPr>
        <a:xfrm>
          <a:off x="3524400" y="76320"/>
          <a:ext cx="980640" cy="3045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11"/>
    <col collapsed="false" customWidth="true" hidden="false" outlineLevel="0" max="4" min="4" style="0" width="19"/>
    <col collapsed="false" customWidth="true" hidden="false" outlineLevel="0" max="5" min="5" style="0" width="2.5"/>
    <col collapsed="false" customWidth="true" hidden="false" outlineLevel="0" max="6" min="6" style="0" width="13"/>
    <col collapsed="false" customWidth="true" hidden="false" outlineLevel="0" max="7" min="7" style="0" width="21"/>
    <col collapsed="false" customWidth="true" hidden="false" outlineLevel="0" max="8" min="8" style="0" width="9"/>
    <col collapsed="false" customWidth="true" hidden="false" outlineLevel="0" max="9" min="9" style="0" width="16"/>
  </cols>
  <sheetData>
    <row r="1" customFormat="false" ht="32.25" hidden="false" customHeight="true" outlineLevel="0" collapsed="false">
      <c r="A1" s="1"/>
      <c r="B1" s="1"/>
      <c r="C1" s="1"/>
      <c r="D1" s="1"/>
      <c r="F1" s="2" t="s">
        <v>0</v>
      </c>
      <c r="G1" s="3"/>
      <c r="H1" s="3"/>
      <c r="I1" s="3"/>
    </row>
    <row r="2" customFormat="false" ht="32.25" hidden="false" customHeight="true" outlineLevel="0" collapsed="false">
      <c r="A2" s="1"/>
      <c r="B2" s="1"/>
      <c r="C2" s="1"/>
      <c r="D2" s="1"/>
      <c r="F2" s="2" t="s">
        <v>1</v>
      </c>
      <c r="G2" s="4"/>
      <c r="H2" s="4"/>
      <c r="I2" s="4"/>
    </row>
    <row r="3" customFormat="false" ht="32.25" hidden="false" customHeight="true" outlineLevel="0" collapsed="false">
      <c r="A3" s="1"/>
      <c r="B3" s="1"/>
      <c r="C3" s="1"/>
      <c r="D3" s="1"/>
      <c r="F3" s="2" t="s">
        <v>2</v>
      </c>
      <c r="G3" s="4"/>
      <c r="H3" s="4"/>
      <c r="I3" s="4"/>
    </row>
    <row r="4" customFormat="false" ht="32.25" hidden="false" customHeight="true" outlineLevel="0" collapsed="false">
      <c r="A4" s="1"/>
      <c r="B4" s="1"/>
      <c r="C4" s="1"/>
      <c r="D4" s="1"/>
    </row>
    <row r="5" customFormat="false" ht="32.25" hidden="false" customHeight="true" outlineLevel="0" collapsed="false">
      <c r="A5" s="1"/>
      <c r="B5" s="1"/>
      <c r="C5" s="1"/>
      <c r="D5" s="1"/>
    </row>
    <row r="6" customFormat="false" ht="21.75" hidden="false" customHeight="true" outlineLevel="0" collapsed="false"/>
    <row r="7" customFormat="false" ht="29.25" hidden="false" customHeight="true" outlineLevel="0" collapsed="false">
      <c r="A7" s="5" t="s">
        <v>3</v>
      </c>
      <c r="B7" s="5"/>
      <c r="C7" s="5"/>
      <c r="D7" s="5"/>
      <c r="E7" s="5"/>
      <c r="F7" s="5"/>
      <c r="G7" s="5"/>
      <c r="H7" s="5"/>
      <c r="I7" s="5"/>
    </row>
    <row r="8" customFormat="false" ht="29.25" hidden="false" customHeight="true" outlineLevel="0" collapsed="false">
      <c r="A8" s="2" t="s">
        <v>4</v>
      </c>
      <c r="B8" s="4"/>
      <c r="C8" s="4"/>
      <c r="D8" s="4"/>
      <c r="F8" s="2" t="s">
        <v>5</v>
      </c>
      <c r="G8" s="4"/>
      <c r="H8" s="4"/>
      <c r="I8" s="4"/>
    </row>
    <row r="9" customFormat="false" ht="29.25" hidden="false" customHeight="true" outlineLevel="0" collapsed="false">
      <c r="A9" s="2" t="s">
        <v>6</v>
      </c>
      <c r="B9" s="4"/>
      <c r="C9" s="4"/>
      <c r="D9" s="4"/>
      <c r="F9" s="2" t="s">
        <v>7</v>
      </c>
      <c r="G9" s="4"/>
      <c r="H9" s="4"/>
      <c r="I9" s="4"/>
    </row>
    <row r="10" customFormat="false" ht="29.25" hidden="false" customHeight="true" outlineLevel="0" collapsed="false">
      <c r="A10" s="2" t="s">
        <v>8</v>
      </c>
      <c r="B10" s="4"/>
      <c r="C10" s="4"/>
      <c r="D10" s="4"/>
      <c r="F10" s="2" t="s">
        <v>9</v>
      </c>
      <c r="G10" s="4"/>
      <c r="H10" s="4"/>
      <c r="I10" s="4"/>
    </row>
    <row r="11" customFormat="false" ht="21.75" hidden="false" customHeight="true" outlineLevel="0" collapsed="false"/>
    <row r="12" customFormat="false" ht="29.25" hidden="false" customHeight="true" outlineLevel="0" collapsed="false">
      <c r="A12" s="5" t="s">
        <v>10</v>
      </c>
      <c r="B12" s="5"/>
      <c r="C12" s="5"/>
      <c r="D12" s="5"/>
      <c r="F12" s="5" t="s">
        <v>11</v>
      </c>
      <c r="G12" s="5"/>
      <c r="H12" s="5"/>
      <c r="I12" s="5"/>
    </row>
    <row r="13" customFormat="false" ht="29.25" hidden="false" customHeight="true" outlineLevel="0" collapsed="false">
      <c r="A13" s="2" t="s">
        <v>12</v>
      </c>
      <c r="B13" s="4"/>
      <c r="C13" s="2" t="s">
        <v>13</v>
      </c>
      <c r="D13" s="4"/>
      <c r="F13" s="2" t="s">
        <v>14</v>
      </c>
      <c r="G13" s="6"/>
      <c r="H13" s="6"/>
      <c r="I13" s="6"/>
    </row>
    <row r="14" customFormat="false" ht="29.25" hidden="false" customHeight="true" outlineLevel="0" collapsed="false">
      <c r="A14" s="2" t="s">
        <v>15</v>
      </c>
      <c r="B14" s="4"/>
      <c r="C14" s="4"/>
      <c r="D14" s="4"/>
      <c r="F14" s="2" t="s">
        <v>15</v>
      </c>
      <c r="G14" s="4"/>
      <c r="H14" s="4"/>
      <c r="I14" s="4"/>
    </row>
    <row r="15" customFormat="false" ht="29.25" hidden="false" customHeight="true" outlineLevel="0" collapsed="false">
      <c r="A15" s="2" t="s">
        <v>16</v>
      </c>
      <c r="B15" s="4"/>
      <c r="C15" s="4"/>
      <c r="D15" s="4"/>
      <c r="F15" s="2" t="s">
        <v>16</v>
      </c>
      <c r="G15" s="4"/>
      <c r="H15" s="4"/>
      <c r="I15" s="4"/>
    </row>
    <row r="16" customFormat="false" ht="29.25" hidden="false" customHeight="true" outlineLevel="0" collapsed="false">
      <c r="A16" s="2" t="s">
        <v>17</v>
      </c>
      <c r="B16" s="4"/>
      <c r="C16" s="4"/>
      <c r="D16" s="4"/>
      <c r="F16" s="2" t="s">
        <v>17</v>
      </c>
      <c r="G16" s="4"/>
      <c r="H16" s="4"/>
      <c r="I16" s="4"/>
    </row>
    <row r="17" customFormat="false" ht="29.25" hidden="false" customHeight="true" outlineLevel="0" collapsed="false">
      <c r="A17" s="2" t="s">
        <v>18</v>
      </c>
      <c r="B17" s="7"/>
      <c r="C17" s="2" t="s">
        <v>19</v>
      </c>
      <c r="D17" s="4"/>
      <c r="F17" s="2" t="s">
        <v>18</v>
      </c>
      <c r="G17" s="7"/>
      <c r="H17" s="2" t="s">
        <v>19</v>
      </c>
      <c r="I17" s="4"/>
    </row>
    <row r="18" customFormat="false" ht="21.75" hidden="false" customHeight="true" outlineLevel="0" collapsed="false"/>
    <row r="19" customFormat="false" ht="29.25" hidden="false" customHeight="true" outlineLevel="0" collapsed="false">
      <c r="A19" s="8" t="s">
        <v>20</v>
      </c>
      <c r="B19" s="8"/>
      <c r="C19" s="8"/>
      <c r="D19" s="8"/>
      <c r="F19" s="9" t="s">
        <v>21</v>
      </c>
      <c r="G19" s="9"/>
      <c r="H19" s="10"/>
      <c r="I19" s="10"/>
    </row>
    <row r="20" customFormat="false" ht="26.25" hidden="false" customHeight="true" outlineLevel="0" collapsed="false">
      <c r="A20" s="11" t="n">
        <f aca="false">H41</f>
        <v>0</v>
      </c>
      <c r="B20" s="11"/>
      <c r="C20" s="11"/>
      <c r="D20" s="11"/>
      <c r="F20" s="9" t="s">
        <v>22</v>
      </c>
      <c r="G20" s="9"/>
      <c r="H20" s="10"/>
      <c r="I20" s="10"/>
    </row>
    <row r="21" customFormat="false" ht="26.25" hidden="false" customHeight="true" outlineLevel="0" collapsed="false">
      <c r="A21" s="11"/>
      <c r="B21" s="11"/>
      <c r="C21" s="11"/>
      <c r="D21" s="11"/>
    </row>
    <row r="22" customFormat="false" ht="26.25" hidden="false" customHeight="true" outlineLevel="0" collapsed="false">
      <c r="F22" s="9" t="s">
        <v>23</v>
      </c>
      <c r="G22" s="9"/>
      <c r="H22" s="12" t="n">
        <f aca="false">H19-H20</f>
        <v>0</v>
      </c>
      <c r="I22" s="12"/>
    </row>
    <row r="23" customFormat="false" ht="26.25" hidden="false" customHeight="true" outlineLevel="0" collapsed="false">
      <c r="F23" s="9" t="s">
        <v>24</v>
      </c>
      <c r="G23" s="9"/>
      <c r="H23" s="10"/>
      <c r="I23" s="10"/>
    </row>
    <row r="24" customFormat="false" ht="26.25" hidden="false" customHeight="true" outlineLevel="0" collapsed="false">
      <c r="F24" s="9" t="s">
        <v>25</v>
      </c>
      <c r="G24" s="9"/>
      <c r="H24" s="10"/>
      <c r="I24" s="10"/>
    </row>
    <row r="25" customFormat="false" ht="26.25" hidden="false" customHeight="true" outlineLevel="0" collapsed="false">
      <c r="F25" s="9" t="s">
        <v>26</v>
      </c>
      <c r="G25" s="9"/>
      <c r="H25" s="10"/>
      <c r="I25" s="10"/>
    </row>
    <row r="26" customFormat="false" ht="26.25" hidden="false" customHeight="true" outlineLevel="0" collapsed="false">
      <c r="F26" s="9" t="s">
        <v>27</v>
      </c>
      <c r="G26" s="9"/>
      <c r="H26" s="10"/>
      <c r="I26" s="10"/>
    </row>
    <row r="27" customFormat="false" ht="26.25" hidden="false" customHeight="true" outlineLevel="0" collapsed="false">
      <c r="F27" s="9" t="s">
        <v>28</v>
      </c>
      <c r="G27" s="9"/>
      <c r="H27" s="10"/>
      <c r="I27" s="10"/>
    </row>
    <row r="28" customFormat="false" ht="26.25" hidden="false" customHeight="true" outlineLevel="0" collapsed="false">
      <c r="F28" s="9" t="s">
        <v>29</v>
      </c>
      <c r="G28" s="9"/>
      <c r="H28" s="12" t="n">
        <f aca="false">H22+H23+H24+H25+H26+H27</f>
        <v>0</v>
      </c>
      <c r="I28" s="12"/>
    </row>
    <row r="29" customFormat="false" ht="26.25" hidden="false" customHeight="true" outlineLevel="0" collapsed="false">
      <c r="F29" s="9" t="s">
        <v>30</v>
      </c>
      <c r="G29" s="9"/>
      <c r="H29" s="13"/>
      <c r="I29" s="13"/>
    </row>
    <row r="30" customFormat="false" ht="26.25" hidden="false" customHeight="true" outlineLevel="0" collapsed="false">
      <c r="F30" s="9" t="s">
        <v>31</v>
      </c>
      <c r="G30" s="9"/>
      <c r="H30" s="12" t="n">
        <f aca="false">H28-H29</f>
        <v>0</v>
      </c>
      <c r="I30" s="12"/>
    </row>
    <row r="31" customFormat="false" ht="11.25" hidden="false" customHeight="true" outlineLevel="0" collapsed="false"/>
    <row r="32" customFormat="false" ht="26.25" hidden="false" customHeight="true" outlineLevel="0" collapsed="false">
      <c r="F32" s="9" t="s">
        <v>32</v>
      </c>
      <c r="G32" s="9"/>
      <c r="H32" s="10"/>
      <c r="I32" s="10"/>
    </row>
    <row r="33" customFormat="false" ht="26.25" hidden="false" customHeight="true" outlineLevel="0" collapsed="false">
      <c r="F33" s="9" t="s">
        <v>33</v>
      </c>
      <c r="G33" s="9"/>
      <c r="H33" s="10"/>
      <c r="I33" s="10"/>
    </row>
    <row r="34" customFormat="false" ht="26.25" hidden="false" customHeight="true" outlineLevel="0" collapsed="false">
      <c r="F34" s="9" t="s">
        <v>34</v>
      </c>
      <c r="G34" s="9"/>
      <c r="H34" s="10"/>
      <c r="I34" s="10"/>
    </row>
    <row r="35" customFormat="false" ht="26.25" hidden="false" customHeight="true" outlineLevel="0" collapsed="false">
      <c r="F35" s="9" t="s">
        <v>35</v>
      </c>
      <c r="G35" s="9"/>
      <c r="H35" s="10"/>
      <c r="I35" s="10"/>
    </row>
    <row r="36" customFormat="false" ht="26.25" hidden="false" customHeight="true" outlineLevel="0" collapsed="false">
      <c r="F36" s="9" t="s">
        <v>36</v>
      </c>
      <c r="G36" s="9"/>
      <c r="H36" s="14"/>
      <c r="I36" s="14"/>
    </row>
    <row r="37" customFormat="false" ht="26.25" hidden="false" customHeight="true" outlineLevel="0" collapsed="false">
      <c r="F37" s="9" t="s">
        <v>37</v>
      </c>
      <c r="G37" s="9"/>
      <c r="H37" s="12" t="n">
        <f aca="false">H30*H36</f>
        <v>0</v>
      </c>
      <c r="I37" s="12"/>
    </row>
    <row r="38" customFormat="false" ht="26.25" hidden="false" customHeight="true" outlineLevel="0" collapsed="false">
      <c r="F38" s="9" t="s">
        <v>38</v>
      </c>
      <c r="G38" s="9"/>
      <c r="H38" s="12" t="n">
        <f aca="false">H30+H32+H33+H34+H35+H37</f>
        <v>0</v>
      </c>
      <c r="I38" s="12"/>
    </row>
    <row r="39" customFormat="false" ht="26.25" hidden="false" customHeight="true" outlineLevel="0" collapsed="false">
      <c r="A39" s="15" t="s">
        <v>39</v>
      </c>
      <c r="B39" s="15"/>
      <c r="C39" s="15"/>
      <c r="D39" s="15"/>
      <c r="F39" s="9" t="s">
        <v>40</v>
      </c>
      <c r="G39" s="9"/>
      <c r="H39" s="12" t="n">
        <f aca="false">G13</f>
        <v>0</v>
      </c>
      <c r="I39" s="12"/>
    </row>
    <row r="40" customFormat="false" ht="21.75" hidden="false" customHeight="true" outlineLevel="0" collapsed="false">
      <c r="A40" s="16" t="s">
        <v>41</v>
      </c>
      <c r="B40" s="16"/>
      <c r="C40" s="16"/>
      <c r="D40" s="16"/>
      <c r="F40" s="9" t="s">
        <v>42</v>
      </c>
      <c r="G40" s="9"/>
      <c r="H40" s="13"/>
      <c r="I40" s="13"/>
    </row>
    <row r="41" customFormat="false" ht="21.75" hidden="false" customHeight="true" outlineLevel="0" collapsed="false">
      <c r="A41" s="16" t="s">
        <v>43</v>
      </c>
      <c r="B41" s="16"/>
      <c r="C41" s="16"/>
      <c r="D41" s="16"/>
      <c r="F41" s="9" t="s">
        <v>44</v>
      </c>
      <c r="G41" s="9"/>
      <c r="H41" s="12" t="n">
        <f aca="false">H38+H39-H40</f>
        <v>0</v>
      </c>
      <c r="I41" s="12"/>
    </row>
    <row r="42" customFormat="false" ht="21.75" hidden="false" customHeight="true" outlineLevel="0" collapsed="false"/>
    <row r="43" customFormat="false" ht="32.25" hidden="false" customHeight="true" outlineLevel="0" collapsed="false">
      <c r="A43" s="9" t="s">
        <v>45</v>
      </c>
      <c r="B43" s="9"/>
      <c r="C43" s="4"/>
      <c r="D43" s="4"/>
      <c r="E43" s="17" t="s">
        <v>46</v>
      </c>
      <c r="F43" s="17"/>
      <c r="G43" s="17"/>
      <c r="H43" s="4"/>
      <c r="I43" s="4"/>
    </row>
    <row r="44" customFormat="false" ht="21.75" hidden="false" customHeight="true" outlineLevel="0" collapsed="false"/>
    <row r="45" customFormat="false" ht="17.25" hidden="false" customHeight="true" outlineLevel="0" collapsed="false">
      <c r="A45" s="18" t="s">
        <v>47</v>
      </c>
      <c r="B45" s="18"/>
      <c r="C45" s="18"/>
      <c r="D45" s="18"/>
      <c r="E45" s="18"/>
      <c r="F45" s="18"/>
      <c r="G45" s="18"/>
      <c r="H45" s="18"/>
      <c r="I45" s="18"/>
    </row>
    <row r="46" customFormat="false" ht="17.25" hidden="false" customHeight="true" outlineLevel="0" collapsed="false">
      <c r="A46" s="18"/>
      <c r="B46" s="18"/>
      <c r="C46" s="18"/>
      <c r="D46" s="18"/>
      <c r="E46" s="18"/>
      <c r="F46" s="18"/>
      <c r="G46" s="18"/>
      <c r="H46" s="18"/>
      <c r="I46" s="18"/>
    </row>
    <row r="47" customFormat="false" ht="17.25" hidden="false" customHeight="true" outlineLevel="0" collapsed="false">
      <c r="A47" s="18"/>
      <c r="B47" s="18"/>
      <c r="C47" s="18"/>
      <c r="D47" s="18"/>
      <c r="E47" s="18"/>
      <c r="F47" s="18"/>
      <c r="G47" s="18"/>
      <c r="H47" s="18"/>
      <c r="I47" s="18"/>
    </row>
    <row r="48" customFormat="false" ht="21.75" hidden="false" customHeight="true" outlineLevel="0" collapsed="false"/>
    <row r="49" customFormat="false" ht="21.75" hidden="false" customHeight="true" outlineLevel="0" collapsed="false">
      <c r="A49" s="19" t="s">
        <v>48</v>
      </c>
      <c r="B49" s="19"/>
      <c r="C49" s="19"/>
      <c r="D49" s="19"/>
      <c r="E49" s="19"/>
      <c r="F49" s="19"/>
      <c r="G49" s="19"/>
      <c r="H49" s="19"/>
      <c r="I49" s="19"/>
    </row>
  </sheetData>
  <mergeCells count="73">
    <mergeCell ref="A1:D5"/>
    <mergeCell ref="G1:I1"/>
    <mergeCell ref="G2:I2"/>
    <mergeCell ref="G3:I3"/>
    <mergeCell ref="A7:I7"/>
    <mergeCell ref="B8:D8"/>
    <mergeCell ref="G8:I8"/>
    <mergeCell ref="B9:D9"/>
    <mergeCell ref="G9:I9"/>
    <mergeCell ref="B10:D10"/>
    <mergeCell ref="G10:I10"/>
    <mergeCell ref="A12:D12"/>
    <mergeCell ref="F12:I12"/>
    <mergeCell ref="G13:I13"/>
    <mergeCell ref="B14:D14"/>
    <mergeCell ref="G14:I14"/>
    <mergeCell ref="B15:D15"/>
    <mergeCell ref="G15:I15"/>
    <mergeCell ref="B16:D16"/>
    <mergeCell ref="G16:I16"/>
    <mergeCell ref="A19:D19"/>
    <mergeCell ref="F19:G19"/>
    <mergeCell ref="H19:I19"/>
    <mergeCell ref="A20:D21"/>
    <mergeCell ref="F20:G20"/>
    <mergeCell ref="H20:I20"/>
    <mergeCell ref="F22:G22"/>
    <mergeCell ref="H22:I22"/>
    <mergeCell ref="F23:G23"/>
    <mergeCell ref="H23:I23"/>
    <mergeCell ref="F24:G24"/>
    <mergeCell ref="H24:I24"/>
    <mergeCell ref="F25:G25"/>
    <mergeCell ref="H25:I25"/>
    <mergeCell ref="F26:G26"/>
    <mergeCell ref="H26:I26"/>
    <mergeCell ref="F27:G27"/>
    <mergeCell ref="H27:I27"/>
    <mergeCell ref="F28:G28"/>
    <mergeCell ref="H28:I28"/>
    <mergeCell ref="F29:G29"/>
    <mergeCell ref="H29:I29"/>
    <mergeCell ref="F30:G30"/>
    <mergeCell ref="H30:I30"/>
    <mergeCell ref="F32:G32"/>
    <mergeCell ref="H32:I32"/>
    <mergeCell ref="F33:G33"/>
    <mergeCell ref="H33:I33"/>
    <mergeCell ref="F34:G34"/>
    <mergeCell ref="H34:I34"/>
    <mergeCell ref="F35:G35"/>
    <mergeCell ref="H35:I35"/>
    <mergeCell ref="F36:G36"/>
    <mergeCell ref="H36:I36"/>
    <mergeCell ref="F37:G37"/>
    <mergeCell ref="H37:I37"/>
    <mergeCell ref="F38:G38"/>
    <mergeCell ref="H38:I38"/>
    <mergeCell ref="A39:D39"/>
    <mergeCell ref="F39:G39"/>
    <mergeCell ref="H39:I39"/>
    <mergeCell ref="A40:D40"/>
    <mergeCell ref="F40:G40"/>
    <mergeCell ref="H40:I40"/>
    <mergeCell ref="A41:D41"/>
    <mergeCell ref="F41:G41"/>
    <mergeCell ref="H41:I41"/>
    <mergeCell ref="A43:B43"/>
    <mergeCell ref="C43:D43"/>
    <mergeCell ref="E43:G43"/>
    <mergeCell ref="H43:I43"/>
    <mergeCell ref="A45:I47"/>
    <mergeCell ref="A49:I49"/>
  </mergeCells>
  <printOptions headings="false" gridLines="false" gridLinesSet="true" horizontalCentered="false" verticalCentered="false"/>
  <pageMargins left="0.3" right="0.3" top="0.3" bottom="0.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92"/>
  </cols>
  <sheetData>
    <row r="1" customFormat="false" ht="35.05" hidden="false" customHeight="false" outlineLevel="0" collapsed="false">
      <c r="A1" s="20" t="s">
        <v>49</v>
      </c>
      <c r="B1" s="21"/>
    </row>
    <row r="3" customFormat="false" ht="15" hidden="false" customHeight="false" outlineLevel="0" collapsed="false">
      <c r="A3" s="22" t="s">
        <v>50</v>
      </c>
      <c r="B3" s="23" t="s">
        <v>51</v>
      </c>
    </row>
    <row r="5" customFormat="false" ht="16.4" hidden="false" customHeight="false" outlineLevel="0" collapsed="false">
      <c r="A5" s="24" t="s">
        <v>52</v>
      </c>
      <c r="B5" s="25"/>
    </row>
    <row r="6" customFormat="false" ht="26.85" hidden="false" customHeight="false" outlineLevel="0" collapsed="false">
      <c r="A6" s="23" t="s">
        <v>53</v>
      </c>
      <c r="B6" s="23" t="s">
        <v>54</v>
      </c>
    </row>
    <row r="7" customFormat="false" ht="15" hidden="false" customHeight="false" outlineLevel="0" collapsed="false">
      <c r="A7" s="23"/>
      <c r="B7" s="26" t="s">
        <v>55</v>
      </c>
    </row>
    <row r="8" customFormat="false" ht="15" hidden="false" customHeight="false" outlineLevel="0" collapsed="false">
      <c r="A8" s="23"/>
      <c r="B8" s="26" t="s">
        <v>56</v>
      </c>
    </row>
    <row r="10" customFormat="false" ht="16.4" hidden="false" customHeight="false" outlineLevel="0" collapsed="false">
      <c r="A10" s="24" t="s">
        <v>57</v>
      </c>
      <c r="B10" s="25"/>
    </row>
    <row r="11" customFormat="false" ht="15" hidden="false" customHeight="false" outlineLevel="0" collapsed="false">
      <c r="A11" s="23" t="s">
        <v>58</v>
      </c>
      <c r="B11" s="23" t="s">
        <v>59</v>
      </c>
    </row>
    <row r="12" customFormat="false" ht="15" hidden="false" customHeight="false" outlineLevel="0" collapsed="false">
      <c r="A12" s="23" t="s">
        <v>60</v>
      </c>
      <c r="B12" s="23" t="s">
        <v>61</v>
      </c>
    </row>
    <row r="14" customFormat="false" ht="31.3" hidden="false" customHeight="false" outlineLevel="0" collapsed="false">
      <c r="A14" s="24" t="s">
        <v>62</v>
      </c>
      <c r="B14" s="25"/>
    </row>
    <row r="15" customFormat="false" ht="15" hidden="false" customHeight="false" outlineLevel="0" collapsed="false">
      <c r="A15" s="27" t="s">
        <v>63</v>
      </c>
      <c r="B15" s="26" t="s">
        <v>64</v>
      </c>
    </row>
    <row r="16" customFormat="false" ht="15" hidden="false" customHeight="false" outlineLevel="0" collapsed="false">
      <c r="A16" s="28"/>
      <c r="B16" s="29" t="s">
        <v>65</v>
      </c>
    </row>
    <row r="17" customFormat="false" ht="15" hidden="false" customHeight="false" outlineLevel="0" collapsed="false">
      <c r="A17" s="27" t="s">
        <v>66</v>
      </c>
      <c r="B17" s="26" t="s">
        <v>67</v>
      </c>
    </row>
    <row r="18" customFormat="false" ht="15" hidden="false" customHeight="false" outlineLevel="0" collapsed="false">
      <c r="A18" s="28"/>
      <c r="B18" s="29" t="s">
        <v>68</v>
      </c>
    </row>
    <row r="19" customFormat="false" ht="15" hidden="false" customHeight="false" outlineLevel="0" collapsed="false">
      <c r="A19" s="27" t="s">
        <v>31</v>
      </c>
      <c r="B19" s="26" t="s">
        <v>69</v>
      </c>
    </row>
    <row r="20" customFormat="false" ht="15" hidden="false" customHeight="false" outlineLevel="0" collapsed="false">
      <c r="A20" s="28"/>
      <c r="B20" s="29" t="s">
        <v>70</v>
      </c>
    </row>
    <row r="21" customFormat="false" ht="15" hidden="false" customHeight="false" outlineLevel="0" collapsed="false">
      <c r="A21" s="27" t="s">
        <v>71</v>
      </c>
      <c r="B21" s="26" t="s">
        <v>72</v>
      </c>
    </row>
    <row r="22" customFormat="false" ht="15" hidden="false" customHeight="false" outlineLevel="0" collapsed="false">
      <c r="A22" s="28"/>
      <c r="B22" s="29" t="s">
        <v>73</v>
      </c>
    </row>
    <row r="23" customFormat="false" ht="15" hidden="false" customHeight="false" outlineLevel="0" collapsed="false">
      <c r="A23" s="27" t="s">
        <v>74</v>
      </c>
      <c r="B23" s="26" t="s">
        <v>75</v>
      </c>
    </row>
    <row r="24" customFormat="false" ht="15" hidden="false" customHeight="false" outlineLevel="0" collapsed="false">
      <c r="A24" s="28"/>
      <c r="B24" s="29" t="s">
        <v>76</v>
      </c>
    </row>
    <row r="25" customFormat="false" ht="15" hidden="false" customHeight="false" outlineLevel="0" collapsed="false">
      <c r="A25" s="27" t="s">
        <v>77</v>
      </c>
      <c r="B25" s="26" t="s">
        <v>78</v>
      </c>
    </row>
    <row r="26" customFormat="false" ht="15" hidden="false" customHeight="false" outlineLevel="0" collapsed="false">
      <c r="A26" s="28"/>
      <c r="B26" s="29" t="s">
        <v>79</v>
      </c>
    </row>
    <row r="27" customFormat="false" ht="15" hidden="false" customHeight="false" outlineLevel="0" collapsed="false">
      <c r="A27" s="27" t="s">
        <v>80</v>
      </c>
      <c r="B27" s="26" t="s">
        <v>81</v>
      </c>
    </row>
    <row r="28" customFormat="false" ht="15" hidden="false" customHeight="false" outlineLevel="0" collapsed="false">
      <c r="A28" s="28"/>
      <c r="B28" s="29" t="s">
        <v>82</v>
      </c>
    </row>
    <row r="29" customFormat="false" ht="15" hidden="false" customHeight="false" outlineLevel="0" collapsed="false">
      <c r="A29" s="27" t="s">
        <v>20</v>
      </c>
      <c r="B29" s="26" t="s">
        <v>83</v>
      </c>
    </row>
    <row r="30" customFormat="false" ht="15" hidden="false" customHeight="false" outlineLevel="0" collapsed="false">
      <c r="A30" s="28"/>
      <c r="B30" s="29" t="s">
        <v>84</v>
      </c>
    </row>
    <row r="32" customFormat="false" ht="16.4" hidden="false" customHeight="false" outlineLevel="0" collapsed="false">
      <c r="A32" s="24" t="s">
        <v>85</v>
      </c>
      <c r="B32" s="25"/>
    </row>
    <row r="33" customFormat="false" ht="15" hidden="false" customHeight="false" outlineLevel="0" collapsed="false">
      <c r="A33" s="23" t="s">
        <v>86</v>
      </c>
      <c r="B33" s="26" t="s">
        <v>87</v>
      </c>
    </row>
    <row r="34" customFormat="false" ht="15" hidden="false" customHeight="false" outlineLevel="0" collapsed="false">
      <c r="A34" s="23" t="s">
        <v>88</v>
      </c>
      <c r="B34" s="26" t="s">
        <v>89</v>
      </c>
    </row>
    <row r="35" customFormat="false" ht="15" hidden="false" customHeight="false" outlineLevel="0" collapsed="false">
      <c r="A35" s="23"/>
      <c r="B35" s="26" t="s">
        <v>90</v>
      </c>
    </row>
    <row r="36" customFormat="false" ht="15" hidden="false" customHeight="false" outlineLevel="0" collapsed="false">
      <c r="A36" s="23" t="s">
        <v>91</v>
      </c>
      <c r="B36" s="26" t="s">
        <v>92</v>
      </c>
    </row>
    <row r="37" customFormat="false" ht="15" hidden="false" customHeight="false" outlineLevel="0" collapsed="false">
      <c r="A37" s="26" t="s">
        <v>71</v>
      </c>
      <c r="B37" s="23" t="s">
        <v>93</v>
      </c>
    </row>
    <row r="38" customFormat="false" ht="15" hidden="false" customHeight="false" outlineLevel="0" collapsed="false">
      <c r="A38" s="23"/>
      <c r="B38" s="26" t="s">
        <v>94</v>
      </c>
    </row>
    <row r="39" customFormat="false" ht="15" hidden="false" customHeight="false" outlineLevel="0" collapsed="false">
      <c r="A39" s="23"/>
      <c r="B39" s="23" t="s">
        <v>95</v>
      </c>
    </row>
    <row r="41" customFormat="false" ht="15" hidden="false" customHeight="false" outlineLevel="0" collapsed="false">
      <c r="A41" s="22" t="s">
        <v>96</v>
      </c>
      <c r="B41" s="26"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2026-08-31T06:40:06Z</dcterms:created>
  <dc:creator>openpyxl</dc:creator>
  <dc:description/>
  <dc:language>en-US</dc:language>
  <cp:lastModifiedBy/>
  <dcterms:modified xsi:type="dcterms:W3CDTF">2026-08-31T06:40:06Z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