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tail Purchase Agreement" sheetId="1" state="visible" r:id="rId1"/>
    <sheet name="使い方 (Instructions)" sheetId="2" state="visible" r:id="rId2"/>
  </sheets>
  <definedNames>
    <definedName name="_xlnm.Print_Area" localSheetId="0">'Retail Purchase Agreement'!$A$1:$M$58</definedName>
  </definedNames>
  <calcPr calcId="124519" fullCalcOnLoad="1"/>
</workbook>
</file>

<file path=xl/styles.xml><?xml version="1.0" encoding="utf-8"?>
<styleSheet xmlns="http://schemas.openxmlformats.org/spreadsheetml/2006/main">
  <numFmts count="1">
    <numFmt numFmtId="164" formatCode="$#,##0.00;($#,##0.00);&quot;-&quot;"/>
  </numFmts>
  <fonts count="17">
    <font>
      <name val="Calibri"/>
      <family val="2"/>
      <color theme="1"/>
      <sz val="11"/>
      <scheme val="minor"/>
    </font>
    <font>
      <name val="Arial"/>
      <b val="1"/>
      <sz val="10"/>
    </font>
    <font>
      <name val="Arial"/>
      <sz val="7"/>
    </font>
    <font>
      <name val="Arial"/>
      <b val="1"/>
      <sz val="13"/>
    </font>
    <font>
      <name val="Arial"/>
      <sz val="8"/>
    </font>
    <font>
      <name val="Arial"/>
      <sz val="6"/>
    </font>
    <font>
      <name val="Arial"/>
      <b val="1"/>
      <sz val="6"/>
    </font>
    <font>
      <name val="Arial"/>
      <i val="1"/>
      <sz val="6"/>
    </font>
    <font>
      <name val="Arial"/>
      <b val="1"/>
      <sz val="6.5"/>
    </font>
    <font>
      <name val="Arial"/>
      <b val="1"/>
      <sz val="8"/>
    </font>
    <font>
      <name val="Arial"/>
      <sz val="6.5"/>
    </font>
    <font>
      <name val="Arial"/>
      <b val="1"/>
      <sz val="7"/>
    </font>
    <font>
      <name val="Arial"/>
      <i val="1"/>
      <sz val="7"/>
    </font>
    <font>
      <name val="Arial"/>
      <sz val="9"/>
    </font>
    <font>
      <name val="Arial"/>
      <sz val="5.5"/>
    </font>
    <font>
      <name val="Arial"/>
      <b val="1"/>
      <sz val="12"/>
    </font>
    <font>
      <name val="Arial"/>
      <sz val="10"/>
    </font>
  </fonts>
  <fills count="3">
    <fill>
      <patternFill/>
    </fill>
    <fill>
      <patternFill patternType="gray125"/>
    </fill>
    <fill>
      <patternFill patternType="solid">
        <fgColor rgb="00EFEFEF"/>
      </patternFill>
    </fill>
  </fills>
  <borders count="21">
    <border>
      <left/>
      <right/>
      <top/>
      <bottom/>
      <diagonal/>
    </border>
    <border>
      <bottom style="thin">
        <color rgb="00000000"/>
      </bottom>
    </border>
    <border>
      <left style="thin">
        <color rgb="00000000"/>
      </left>
      <right style="thin">
        <color rgb="00000000"/>
      </right>
      <top style="thin">
        <color rgb="00000000"/>
      </top>
      <bottom style="thin">
        <color rgb="00000000"/>
      </bottom>
    </border>
    <border>
      <left style="thin">
        <color rgb="00000000"/>
      </left>
      <right/>
      <top style="thin">
        <color rgb="00000000"/>
      </top>
      <bottom style="thin">
        <color rgb="00000000"/>
      </bottom>
    </border>
    <border>
      <left/>
      <right style="thin">
        <color rgb="00000000"/>
      </right>
      <top style="thin">
        <color rgb="00000000"/>
      </top>
      <bottom style="thin">
        <color rgb="00000000"/>
      </bottom>
    </border>
    <border>
      <left/>
      <right/>
      <top style="thin">
        <color rgb="00000000"/>
      </top>
      <bottom style="thin">
        <color rgb="00000000"/>
      </bottom>
    </border>
    <border>
      <left style="thin">
        <color rgb="00000000"/>
      </left>
      <right/>
      <top style="thin">
        <color rgb="00000000"/>
      </top>
      <bottom/>
    </border>
    <border>
      <left/>
      <right/>
      <top style="thin">
        <color rgb="00000000"/>
      </top>
      <bottom/>
    </border>
    <border>
      <left/>
      <right style="thin">
        <color rgb="00000000"/>
      </right>
      <top style="thin">
        <color rgb="00000000"/>
      </top>
      <bottom/>
    </border>
    <border>
      <left style="thin">
        <color rgb="00000000"/>
      </left>
      <right/>
      <top/>
      <bottom/>
    </border>
    <border>
      <left/>
      <right/>
      <top/>
      <bottom/>
    </border>
    <border>
      <left/>
      <right style="thin">
        <color rgb="00000000"/>
      </right>
      <top/>
      <bottom/>
    </border>
    <border>
      <left style="thin">
        <color rgb="00000000"/>
      </left>
      <right/>
      <top/>
      <bottom style="thin">
        <color rgb="00000000"/>
      </bottom>
    </border>
    <border>
      <left/>
      <right/>
      <top/>
      <bottom style="thin">
        <color rgb="00000000"/>
      </bottom>
    </border>
    <border>
      <left/>
      <right style="thin">
        <color rgb="00000000"/>
      </right>
      <top/>
      <bottom style="thin">
        <color rgb="00000000"/>
      </bottom>
    </border>
    <border>
      <top style="thin">
        <color rgb="00000000"/>
      </top>
      <bottom style="thin">
        <color rgb="00000000"/>
      </bottom>
    </border>
    <border>
      <right style="thin">
        <color rgb="00000000"/>
      </right>
      <top style="thin">
        <color rgb="00000000"/>
      </top>
      <bottom style="thin">
        <color rgb="00000000"/>
      </bottom>
    </border>
    <border>
      <right style="thin">
        <color rgb="00000000"/>
      </right>
      <bottom style="thin">
        <color rgb="00000000"/>
      </bottom>
    </border>
    <border>
      <top style="medium">
        <color rgb="00000000"/>
      </top>
    </border>
    <border>
      <left/>
      <right/>
      <top style="medium">
        <color rgb="00000000"/>
      </top>
      <bottom/>
      <diagonal/>
    </border>
    <border>
      <top style="medium">
        <color rgb="00000000"/>
      </top>
      <bottom style="thin">
        <color rgb="00000000"/>
      </bottom>
    </border>
  </borders>
  <cellStyleXfs count="1">
    <xf numFmtId="0" fontId="0" fillId="0" borderId="0"/>
  </cellStyleXfs>
  <cellXfs count="65">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center" vertical="center"/>
    </xf>
    <xf numFmtId="0" fontId="2" fillId="0" borderId="0" applyAlignment="1" pivotButton="0" quotePrefix="0" xfId="0">
      <alignment horizontal="right" vertical="center"/>
    </xf>
    <xf numFmtId="0" fontId="4" fillId="0" borderId="1" applyAlignment="1" pivotButton="0" quotePrefix="0" xfId="0">
      <alignment horizontal="left" vertical="center"/>
    </xf>
    <xf numFmtId="0" fontId="2" fillId="0" borderId="0" applyAlignment="1" pivotButton="0" quotePrefix="0" xfId="0">
      <alignment horizontal="left" vertical="center"/>
    </xf>
    <xf numFmtId="0" fontId="0" fillId="0" borderId="1"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center" vertical="center"/>
    </xf>
    <xf numFmtId="0" fontId="4" fillId="0" borderId="2" applyAlignment="1" pivotButton="0" quotePrefix="0" xfId="0">
      <alignment horizontal="center" vertical="center"/>
    </xf>
    <xf numFmtId="0" fontId="4" fillId="0" borderId="3" applyAlignment="1" pivotButton="0" quotePrefix="0" xfId="0">
      <alignment horizontal="center" vertical="center"/>
    </xf>
    <xf numFmtId="0" fontId="0" fillId="0" borderId="4" pivotButton="0" quotePrefix="0" xfId="0"/>
    <xf numFmtId="0" fontId="7" fillId="0" borderId="0" applyAlignment="1" pivotButton="0" quotePrefix="0" xfId="0">
      <alignment horizontal="center" vertical="center"/>
    </xf>
    <xf numFmtId="0" fontId="5" fillId="0" borderId="0" applyAlignment="1" pivotButton="0" quotePrefix="0" xfId="0">
      <alignment horizontal="center" vertical="center"/>
    </xf>
    <xf numFmtId="0" fontId="0" fillId="0" borderId="5" pivotButton="0" quotePrefix="0" xfId="0"/>
    <xf numFmtId="0" fontId="8" fillId="0" borderId="3" applyAlignment="1" pivotButton="0" quotePrefix="0" xfId="0">
      <alignment horizontal="left" vertical="center"/>
    </xf>
    <xf numFmtId="0" fontId="8" fillId="0" borderId="5" applyAlignment="1" pivotButton="0" quotePrefix="0" xfId="0">
      <alignment horizontal="left" vertical="center"/>
    </xf>
    <xf numFmtId="0" fontId="9" fillId="0" borderId="3" applyAlignment="1" pivotButton="0" quotePrefix="0" xfId="0">
      <alignment horizontal="center" vertical="center"/>
    </xf>
    <xf numFmtId="0" fontId="11" fillId="0" borderId="2" applyAlignment="1" pivotButton="0" quotePrefix="0" xfId="0">
      <alignment horizontal="left" vertical="center"/>
    </xf>
    <xf numFmtId="164" fontId="11" fillId="0" borderId="2" applyAlignment="1" pivotButton="0" quotePrefix="0" xfId="0">
      <alignment horizontal="right" vertical="center"/>
    </xf>
    <xf numFmtId="0" fontId="5" fillId="0" borderId="6" applyAlignment="1" pivotButton="0" quotePrefix="0" xfId="0">
      <alignment horizontal="left" vertical="top" wrapText="1"/>
    </xf>
    <xf numFmtId="0" fontId="0" fillId="0" borderId="7" pivotButton="0" quotePrefix="0" xfId="0"/>
    <xf numFmtId="0" fontId="0" fillId="0" borderId="8" pivotButton="0" quotePrefix="0" xfId="0"/>
    <xf numFmtId="0" fontId="12" fillId="0" borderId="2" applyAlignment="1" pivotButton="0" quotePrefix="0" xfId="0">
      <alignment horizontal="left" vertical="center"/>
    </xf>
    <xf numFmtId="0" fontId="2" fillId="0" borderId="2" applyAlignment="1" pivotButton="0" quotePrefix="0" xfId="0">
      <alignment horizontal="left" vertical="center"/>
    </xf>
    <xf numFmtId="0" fontId="0" fillId="0" borderId="9" pivotButton="0" quotePrefix="0" xfId="0"/>
    <xf numFmtId="0" fontId="0" fillId="0" borderId="10" pivotButton="0" quotePrefix="0" xfId="0"/>
    <xf numFmtId="0" fontId="0" fillId="0" borderId="11" pivotButton="0" quotePrefix="0" xfId="0"/>
    <xf numFmtId="164" fontId="2" fillId="0" borderId="2" applyAlignment="1" pivotButton="0" quotePrefix="0" xfId="0">
      <alignment horizontal="right" vertical="center"/>
    </xf>
    <xf numFmtId="0" fontId="0" fillId="0" borderId="12" pivotButton="0" quotePrefix="0" xfId="0"/>
    <xf numFmtId="0" fontId="0" fillId="0" borderId="13" pivotButton="0" quotePrefix="0" xfId="0"/>
    <xf numFmtId="0" fontId="0" fillId="0" borderId="14" pivotButton="0" quotePrefix="0" xfId="0"/>
    <xf numFmtId="0" fontId="8" fillId="0" borderId="6" applyAlignment="1" pivotButton="0" quotePrefix="0" xfId="0">
      <alignment horizontal="left" vertical="center"/>
    </xf>
    <xf numFmtId="0" fontId="5" fillId="0" borderId="9" applyAlignment="1" pivotButton="0" quotePrefix="0" xfId="0">
      <alignment horizontal="left" vertical="top" wrapText="1"/>
    </xf>
    <xf numFmtId="0" fontId="11" fillId="2" borderId="2" applyAlignment="1" pivotButton="0" quotePrefix="0" xfId="0">
      <alignment horizontal="left" vertical="center"/>
    </xf>
    <xf numFmtId="164" fontId="11" fillId="2" borderId="2" applyAlignment="1" pivotButton="0" quotePrefix="0" xfId="0">
      <alignment horizontal="right" vertical="center"/>
    </xf>
    <xf numFmtId="0" fontId="5" fillId="0" borderId="6" applyAlignment="1" pivotButton="0" quotePrefix="0" xfId="0">
      <alignment horizontal="left" vertical="center"/>
    </xf>
    <xf numFmtId="0" fontId="2" fillId="0" borderId="15" applyAlignment="1" pivotButton="0" quotePrefix="0" xfId="0">
      <alignment horizontal="left" vertical="center"/>
    </xf>
    <xf numFmtId="0" fontId="0" fillId="0" borderId="15" pivotButton="0" quotePrefix="0" xfId="0"/>
    <xf numFmtId="0" fontId="0" fillId="0" borderId="16" pivotButton="0" quotePrefix="0" xfId="0"/>
    <xf numFmtId="0" fontId="5" fillId="0" borderId="9" applyAlignment="1" pivotButton="0" quotePrefix="0" xfId="0">
      <alignment horizontal="left" vertical="center"/>
    </xf>
    <xf numFmtId="0" fontId="2" fillId="0" borderId="1" applyAlignment="1" pivotButton="0" quotePrefix="0" xfId="0">
      <alignment horizontal="left" vertical="center"/>
    </xf>
    <xf numFmtId="0" fontId="0" fillId="0" borderId="17" pivotButton="0" quotePrefix="0" xfId="0"/>
    <xf numFmtId="0" fontId="5" fillId="0" borderId="10" applyAlignment="1" pivotButton="0" quotePrefix="0" xfId="0">
      <alignment horizontal="left" vertical="center"/>
    </xf>
    <xf numFmtId="0" fontId="2" fillId="0" borderId="17" applyAlignment="1" pivotButton="0" quotePrefix="0" xfId="0">
      <alignment horizontal="left" vertical="center"/>
    </xf>
    <xf numFmtId="0" fontId="7" fillId="0" borderId="10" applyAlignment="1" pivotButton="0" quotePrefix="0" xfId="0">
      <alignment horizontal="center" vertical="center"/>
    </xf>
    <xf numFmtId="164" fontId="2" fillId="0" borderId="1" applyAlignment="1" pivotButton="0" quotePrefix="0" xfId="0">
      <alignment horizontal="left" vertical="center"/>
    </xf>
    <xf numFmtId="0" fontId="5" fillId="0" borderId="12" applyAlignment="1" pivotButton="0" quotePrefix="0" xfId="0">
      <alignment horizontal="left" vertical="center"/>
    </xf>
    <xf numFmtId="0" fontId="5" fillId="0" borderId="13" applyAlignment="1" pivotButton="0" quotePrefix="0" xfId="0">
      <alignment horizontal="left" vertical="center"/>
    </xf>
    <xf numFmtId="0" fontId="10" fillId="0" borderId="6" applyAlignment="1" pivotButton="0" quotePrefix="0" xfId="0">
      <alignment horizontal="left" vertical="center"/>
    </xf>
    <xf numFmtId="0" fontId="10" fillId="0" borderId="9" applyAlignment="1" pivotButton="0" quotePrefix="0" xfId="0">
      <alignment horizontal="left" vertical="center"/>
    </xf>
    <xf numFmtId="0" fontId="10" fillId="0" borderId="12" applyAlignment="1" pivotButton="0" quotePrefix="0" xfId="0">
      <alignment horizontal="left" vertical="center"/>
    </xf>
    <xf numFmtId="0" fontId="6" fillId="0" borderId="0" applyAlignment="1" pivotButton="0" quotePrefix="0" xfId="0">
      <alignment horizontal="left" vertical="top" wrapText="1"/>
    </xf>
    <xf numFmtId="0" fontId="9" fillId="0" borderId="18" applyAlignment="1" pivotButton="0" quotePrefix="0" xfId="0">
      <alignment horizontal="left" vertical="bottom"/>
    </xf>
    <xf numFmtId="0" fontId="0" fillId="0" borderId="19" pivotButton="0" quotePrefix="0" xfId="0"/>
    <xf numFmtId="0" fontId="13" fillId="0" borderId="20" applyAlignment="1" pivotButton="0" quotePrefix="0" xfId="0">
      <alignment horizontal="left" vertical="bottom"/>
    </xf>
    <xf numFmtId="0" fontId="0" fillId="0" borderId="20" pivotButton="0" quotePrefix="0" xfId="0"/>
    <xf numFmtId="0" fontId="14" fillId="0" borderId="0" applyAlignment="1" pivotButton="0" quotePrefix="0" xfId="0">
      <alignment horizontal="left" vertical="top" wrapText="1"/>
    </xf>
    <xf numFmtId="0" fontId="9" fillId="0" borderId="0" applyAlignment="1" pivotButton="0" quotePrefix="0" xfId="0">
      <alignment horizontal="left" vertical="center"/>
    </xf>
    <xf numFmtId="0" fontId="15" fillId="0" borderId="0" pivotButton="0" quotePrefix="0" xfId="0"/>
    <xf numFmtId="0" fontId="15" fillId="0" borderId="0" applyAlignment="1" pivotButton="0" quotePrefix="0" xfId="0">
      <alignment vertical="top" wrapText="1"/>
    </xf>
    <xf numFmtId="0" fontId="1" fillId="0" borderId="0" pivotButton="0" quotePrefix="0" xfId="0"/>
    <xf numFmtId="0" fontId="1" fillId="0" borderId="0" applyAlignment="1" pivotButton="0" quotePrefix="0" xfId="0">
      <alignment vertical="top" wrapText="1"/>
    </xf>
    <xf numFmtId="0" fontId="16" fillId="0" borderId="0" pivotButton="0" quotePrefix="0" xfId="0"/>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1:L58"/>
  <sheetViews>
    <sheetView showGridLines="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5" customWidth="1" min="10" max="10"/>
    <col width="28" customWidth="1" min="11" max="11"/>
    <col width="13" customWidth="1" min="12" max="12"/>
    <col width="2" customWidth="1" min="13" max="13"/>
  </cols>
  <sheetData>
    <row r="1" ht="14" customHeight="1">
      <c r="B1" s="1" t="inlineStr">
        <is>
          <t>DOGGETT FORD</t>
        </is>
      </c>
      <c r="E1" s="2" t="inlineStr">
        <is>
          <t>RETAIL PURCHASE AGREEMENT</t>
        </is>
      </c>
      <c r="K1" s="3" t="inlineStr">
        <is>
          <t>CUST#</t>
        </is>
      </c>
      <c r="L1" s="4" t="n"/>
    </row>
    <row r="2" ht="14" customHeight="1">
      <c r="B2" s="5" t="inlineStr">
        <is>
          <t>9225 NORTH FREEWAY</t>
        </is>
      </c>
      <c r="K2" s="3" t="inlineStr">
        <is>
          <t>Deal Number:</t>
        </is>
      </c>
      <c r="L2" s="4" t="n"/>
    </row>
    <row r="3" ht="14" customHeight="1">
      <c r="B3" s="5" t="inlineStr">
        <is>
          <t>HOUSTON, TX 77037</t>
        </is>
      </c>
    </row>
    <row r="4" ht="14" customHeight="1">
      <c r="B4" s="5" t="inlineStr">
        <is>
          <t>281-878-4200</t>
        </is>
      </c>
    </row>
    <row r="5" ht="5" customHeight="1"/>
    <row r="6" ht="16" customHeight="1">
      <c r="B6" s="5" t="inlineStr">
        <is>
          <t>Purchaser's Name(s):</t>
        </is>
      </c>
      <c r="D6" s="4" t="n"/>
      <c r="E6" s="6" t="n"/>
      <c r="F6" s="6" t="n"/>
      <c r="G6" s="6" t="n"/>
      <c r="H6" s="6" t="n"/>
      <c r="I6" s="6" t="n"/>
      <c r="K6" s="3" t="inlineStr">
        <is>
          <t>Date:</t>
        </is>
      </c>
      <c r="L6" s="4" t="n"/>
    </row>
    <row r="7" ht="16" customHeight="1">
      <c r="B7" s="5" t="inlineStr">
        <is>
          <t>Address(es):</t>
        </is>
      </c>
      <c r="D7" s="4" t="n"/>
      <c r="E7" s="6" t="n"/>
      <c r="F7" s="6" t="n"/>
      <c r="G7" s="6" t="n"/>
      <c r="H7" s="6" t="n"/>
      <c r="I7" s="6" t="n"/>
      <c r="K7" s="3" t="inlineStr">
        <is>
          <t>County:</t>
        </is>
      </c>
      <c r="L7" s="4" t="n"/>
    </row>
    <row r="8" ht="16" customHeight="1">
      <c r="B8" s="5" t="inlineStr">
        <is>
          <t>Telephone (1):</t>
        </is>
      </c>
      <c r="D8" s="4" t="n"/>
      <c r="E8" s="6" t="n"/>
      <c r="F8" s="6" t="n"/>
      <c r="G8" s="6" t="n"/>
      <c r="H8" s="6" t="n"/>
      <c r="I8" s="6" t="n"/>
      <c r="K8" s="3" t="inlineStr">
        <is>
          <t>Telephone (2):</t>
        </is>
      </c>
      <c r="L8" s="4" t="n"/>
    </row>
    <row r="9" ht="16" customHeight="1">
      <c r="B9" s="5" t="inlineStr">
        <is>
          <t>Email (1):</t>
        </is>
      </c>
      <c r="D9" s="4" t="n"/>
      <c r="E9" s="6" t="n"/>
      <c r="F9" s="6" t="n"/>
      <c r="G9" s="6" t="n"/>
      <c r="H9" s="6" t="n"/>
      <c r="I9" s="6" t="n"/>
      <c r="K9" s="3" t="inlineStr">
        <is>
          <t>Email (2):</t>
        </is>
      </c>
      <c r="L9" s="4" t="n"/>
    </row>
    <row r="10" ht="16" customHeight="1">
      <c r="B10" s="7" t="inlineStr">
        <is>
          <t>The Odometer Reading for the Vehicle You are purchasing is accurate unless indicated otherwise. Please refer to the Odometer Mileage Statement for full disclosure.</t>
        </is>
      </c>
    </row>
    <row r="11" ht="4" customHeight="1"/>
    <row r="12" ht="12" customHeight="1">
      <c r="B12" s="8" t="inlineStr">
        <is>
          <t>YEAR</t>
        </is>
      </c>
      <c r="C12" s="8" t="inlineStr">
        <is>
          <t>MAKE</t>
        </is>
      </c>
      <c r="D12" s="8" t="inlineStr">
        <is>
          <t>MODEL</t>
        </is>
      </c>
      <c r="F12" s="8" t="inlineStr">
        <is>
          <t>COLOR</t>
        </is>
      </c>
      <c r="H12" s="8" t="inlineStr">
        <is>
          <t>STOCK NO.</t>
        </is>
      </c>
    </row>
    <row r="13" ht="16" customHeight="1">
      <c r="B13" s="9" t="n"/>
      <c r="C13" s="9" t="n"/>
      <c r="D13" s="10" t="n"/>
      <c r="E13" s="11" t="n"/>
      <c r="F13" s="10" t="n"/>
      <c r="G13" s="11" t="n"/>
      <c r="H13" s="10" t="n"/>
      <c r="I13" s="11" t="n"/>
    </row>
    <row r="14" ht="12" customHeight="1">
      <c r="B14" s="8" t="inlineStr">
        <is>
          <t>VIN</t>
        </is>
      </c>
      <c r="D14" s="12" t="inlineStr">
        <is>
          <t>(Vehicle)</t>
        </is>
      </c>
      <c r="E14" s="8" t="inlineStr">
        <is>
          <t>ODOMETER READING</t>
        </is>
      </c>
      <c r="F14" s="13" t="inlineStr">
        <is>
          <t>☐ Not Accurate</t>
        </is>
      </c>
      <c r="G14" s="8" t="inlineStr">
        <is>
          <t>SALESPERSON</t>
        </is>
      </c>
    </row>
    <row r="15" ht="16" customHeight="1">
      <c r="B15" s="10" t="n"/>
      <c r="C15" s="11" t="n"/>
      <c r="E15" s="9" t="n"/>
      <c r="G15" s="10" t="n"/>
      <c r="H15" s="14" t="n"/>
      <c r="I15" s="11" t="n"/>
    </row>
    <row r="16" ht="14" customHeight="1">
      <c r="B16" s="15" t="inlineStr">
        <is>
          <t>THE VEHICLE IS:      ☐ NEW      ☐ USED</t>
        </is>
      </c>
      <c r="C16" s="14" t="n"/>
      <c r="D16" s="14" t="n"/>
      <c r="E16" s="16" t="inlineStr">
        <is>
          <t>PRIOR USE DISCLOSURE:   ☐ DEMONSTRATOR   ☐ PREVIOUSLY LEASED   ☐ EXECUTIVE VEHICLE   ☐ RENTAL   ☐ OTHER</t>
        </is>
      </c>
      <c r="F16" s="14" t="n"/>
      <c r="G16" s="14" t="n"/>
      <c r="H16" s="14" t="n"/>
      <c r="I16" s="11" t="n"/>
    </row>
    <row r="17" ht="14" customHeight="1">
      <c r="B17" s="17" t="inlineStr">
        <is>
          <t>WARRANTY STATEMENT</t>
        </is>
      </c>
      <c r="C17" s="14" t="n"/>
      <c r="D17" s="14" t="n"/>
      <c r="E17" s="14" t="n"/>
      <c r="F17" s="14" t="n"/>
      <c r="G17" s="14" t="n"/>
      <c r="H17" s="14" t="n"/>
      <c r="I17" s="11" t="n"/>
      <c r="K17" s="18" t="inlineStr">
        <is>
          <t>Base Selling Price</t>
        </is>
      </c>
      <c r="L17" s="19" t="n"/>
    </row>
    <row r="18" ht="14" customHeight="1">
      <c r="B18" s="20" t="inlineStr">
        <is>
          <t>We are selling this Vehicle to You AS-IS and We expressly disclaim all warranties, express and implied, including any implied warranties of merchantability and fitness for a particular purpose, unless the box beside "Used Vehicle Limited Warranty Applies" is marked below or We enter into a service contract with You at the time of, or within 90 days of, the date of this transaction. All warranties, if any, by a manufacturer or supplier other than Our Dealership are theirs, not Ours, and no manufacturer or supplier shall be liable for performance under such warranties. We neither assume nor authorize any other person to assume for Us any liability in connection with the sale of the Vehicle and related goods and services.</t>
        </is>
      </c>
      <c r="C18" s="21" t="n"/>
      <c r="D18" s="21" t="n"/>
      <c r="E18" s="21" t="n"/>
      <c r="F18" s="21" t="n"/>
      <c r="G18" s="21" t="n"/>
      <c r="H18" s="21" t="n"/>
      <c r="I18" s="22" t="n"/>
      <c r="K18" s="23" t="inlineStr">
        <is>
          <t>Optional Items:</t>
        </is>
      </c>
      <c r="L18" s="24" t="n"/>
    </row>
    <row r="19" ht="14" customHeight="1">
      <c r="B19" s="25" t="n"/>
      <c r="C19" s="26" t="n"/>
      <c r="D19" s="26" t="n"/>
      <c r="E19" s="26" t="n"/>
      <c r="F19" s="26" t="n"/>
      <c r="G19" s="26" t="n"/>
      <c r="H19" s="26" t="n"/>
      <c r="I19" s="27" t="n"/>
      <c r="K19" s="24" t="n"/>
      <c r="L19" s="28" t="n"/>
    </row>
    <row r="20" ht="14" customHeight="1">
      <c r="B20" s="25" t="n"/>
      <c r="C20" s="26" t="n"/>
      <c r="D20" s="26" t="n"/>
      <c r="E20" s="26" t="n"/>
      <c r="F20" s="26" t="n"/>
      <c r="G20" s="26" t="n"/>
      <c r="H20" s="26" t="n"/>
      <c r="I20" s="27" t="n"/>
      <c r="K20" s="24" t="n"/>
      <c r="L20" s="28" t="n"/>
    </row>
    <row r="21" ht="14" customHeight="1">
      <c r="B21" s="25" t="n"/>
      <c r="C21" s="26" t="n"/>
      <c r="D21" s="26" t="n"/>
      <c r="E21" s="26" t="n"/>
      <c r="F21" s="26" t="n"/>
      <c r="G21" s="26" t="n"/>
      <c r="H21" s="26" t="n"/>
      <c r="I21" s="27" t="n"/>
      <c r="K21" s="24" t="n"/>
      <c r="L21" s="28" t="n"/>
    </row>
    <row r="22" ht="14" customHeight="1">
      <c r="B22" s="25" t="n"/>
      <c r="C22" s="26" t="n"/>
      <c r="D22" s="26" t="n"/>
      <c r="E22" s="26" t="n"/>
      <c r="F22" s="26" t="n"/>
      <c r="G22" s="26" t="n"/>
      <c r="H22" s="26" t="n"/>
      <c r="I22" s="27" t="n"/>
      <c r="K22" s="24" t="n"/>
      <c r="L22" s="28" t="n"/>
    </row>
    <row r="23" ht="14" customHeight="1">
      <c r="B23" s="29" t="n"/>
      <c r="C23" s="30" t="n"/>
      <c r="D23" s="30" t="n"/>
      <c r="E23" s="30" t="n"/>
      <c r="F23" s="30" t="n"/>
      <c r="G23" s="30" t="n"/>
      <c r="H23" s="30" t="n"/>
      <c r="I23" s="31" t="n"/>
      <c r="K23" s="24" t="n"/>
      <c r="L23" s="28" t="n"/>
    </row>
    <row r="24" ht="14" customHeight="1">
      <c r="B24" s="32" t="inlineStr">
        <is>
          <t>CONTRACTUAL DISCLOSURE STATEMENT (USED VEHICLES ONLY) The information</t>
        </is>
      </c>
      <c r="C24" s="21" t="n"/>
      <c r="D24" s="21" t="n"/>
      <c r="E24" s="21" t="n"/>
      <c r="F24" s="21" t="n"/>
      <c r="G24" s="21" t="n"/>
      <c r="H24" s="21" t="n"/>
      <c r="I24" s="22" t="n"/>
      <c r="K24" s="24" t="n"/>
      <c r="L24" s="28" t="n"/>
    </row>
    <row r="25" ht="14" customHeight="1">
      <c r="B25" s="33" t="inlineStr">
        <is>
          <t>You see on the window form for this Vehicle is part of this contract. Information on the window form overrides any contrary provisions in the contract of sale.  Traducción española: Guía para compradores de vehículos usados. La información que ve en el formulario de la ventanilla para este vehículo forma parte del presente contrato. La información del formulario de la ventanilla deja sin efecto toda disposición en contrario contenida en el contrato de venta.</t>
        </is>
      </c>
      <c r="C25" s="26" t="n"/>
      <c r="D25" s="26" t="n"/>
      <c r="E25" s="26" t="n"/>
      <c r="F25" s="26" t="n"/>
      <c r="G25" s="26" t="n"/>
      <c r="H25" s="26" t="n"/>
      <c r="I25" s="27" t="n"/>
      <c r="K25" s="24" t="n"/>
      <c r="L25" s="28" t="n"/>
    </row>
    <row r="26" ht="14" customHeight="1">
      <c r="B26" s="25" t="n"/>
      <c r="C26" s="26" t="n"/>
      <c r="D26" s="26" t="n"/>
      <c r="E26" s="26" t="n"/>
      <c r="F26" s="26" t="n"/>
      <c r="G26" s="26" t="n"/>
      <c r="H26" s="26" t="n"/>
      <c r="I26" s="27" t="n"/>
      <c r="K26" s="24" t="n"/>
      <c r="L26" s="28" t="n"/>
    </row>
    <row r="27" ht="14" customHeight="1">
      <c r="B27" s="25" t="n"/>
      <c r="C27" s="26" t="n"/>
      <c r="D27" s="26" t="n"/>
      <c r="E27" s="26" t="n"/>
      <c r="F27" s="26" t="n"/>
      <c r="G27" s="26" t="n"/>
      <c r="H27" s="26" t="n"/>
      <c r="I27" s="27" t="n"/>
      <c r="K27" s="24" t="n"/>
      <c r="L27" s="28" t="n"/>
    </row>
    <row r="28" ht="14" customHeight="1">
      <c r="B28" s="29" t="n"/>
      <c r="C28" s="30" t="n"/>
      <c r="D28" s="30" t="n"/>
      <c r="E28" s="30" t="n"/>
      <c r="F28" s="30" t="n"/>
      <c r="G28" s="30" t="n"/>
      <c r="H28" s="30" t="n"/>
      <c r="I28" s="31" t="n"/>
      <c r="K28" s="24" t="n"/>
      <c r="L28" s="28" t="n"/>
    </row>
    <row r="29" ht="14" customHeight="1">
      <c r="B29" s="20" t="inlineStr">
        <is>
          <t>☐ Used Vehicle Limited Warranty Applies:  We are providing a Used Vehicle Limited Warranty in connection with this transaction. Any implied warranties apply for the duration of the Limited Warranty.</t>
        </is>
      </c>
      <c r="C29" s="21" t="n"/>
      <c r="D29" s="21" t="n"/>
      <c r="E29" s="21" t="n"/>
      <c r="F29" s="21" t="n"/>
      <c r="G29" s="21" t="n"/>
      <c r="H29" s="21" t="n"/>
      <c r="I29" s="22" t="n"/>
      <c r="K29" s="24" t="n"/>
      <c r="L29" s="28" t="n"/>
    </row>
    <row r="30" ht="14" customHeight="1">
      <c r="B30" s="29" t="n"/>
      <c r="C30" s="30" t="n"/>
      <c r="D30" s="30" t="n"/>
      <c r="E30" s="30" t="n"/>
      <c r="F30" s="30" t="n"/>
      <c r="G30" s="30" t="n"/>
      <c r="H30" s="30" t="n"/>
      <c r="I30" s="31" t="n"/>
      <c r="K30" s="24" t="n"/>
      <c r="L30" s="28" t="n"/>
    </row>
    <row r="31" ht="14" customHeight="1">
      <c r="B31" s="17" t="inlineStr">
        <is>
          <t>TRADE VEHICLE INFORMATION</t>
        </is>
      </c>
      <c r="C31" s="14" t="n"/>
      <c r="D31" s="14" t="n"/>
      <c r="E31" s="14" t="n"/>
      <c r="F31" s="14" t="n"/>
      <c r="G31" s="14" t="n"/>
      <c r="H31" s="14" t="n"/>
      <c r="I31" s="11" t="n"/>
      <c r="K31" s="34" t="inlineStr">
        <is>
          <t>TOTAL SELLING PRICE</t>
        </is>
      </c>
      <c r="L31" s="35">
        <f>L17+SUM(L19:L30)</f>
        <v/>
      </c>
    </row>
    <row r="32" ht="14" customHeight="1">
      <c r="B32" s="36" t="inlineStr">
        <is>
          <t>Lienholder Name:</t>
        </is>
      </c>
      <c r="C32" s="37" t="n"/>
      <c r="D32" s="38" t="n"/>
      <c r="E32" s="38" t="n"/>
      <c r="F32" s="38" t="n"/>
      <c r="G32" s="38" t="n"/>
      <c r="H32" s="38" t="n"/>
      <c r="I32" s="39" t="n"/>
      <c r="K32" s="24" t="inlineStr">
        <is>
          <t>LESS: TRADE IN ALLOWANCE</t>
        </is>
      </c>
      <c r="L32" s="28" t="n"/>
    </row>
    <row r="33" ht="14" customHeight="1">
      <c r="B33" s="40" t="inlineStr">
        <is>
          <t>Lienholder Address:</t>
        </is>
      </c>
      <c r="C33" s="41" t="n"/>
      <c r="D33" s="6" t="n"/>
      <c r="E33" s="6" t="n"/>
      <c r="F33" s="6" t="n"/>
      <c r="G33" s="6" t="n"/>
      <c r="H33" s="6" t="n"/>
      <c r="I33" s="42" t="n"/>
      <c r="K33" s="34" t="inlineStr">
        <is>
          <t>SUBTOTAL</t>
        </is>
      </c>
      <c r="L33" s="35">
        <f>L31-L32</f>
        <v/>
      </c>
    </row>
    <row r="34" ht="14" customHeight="1">
      <c r="B34" s="40" t="inlineStr">
        <is>
          <t>Year:</t>
        </is>
      </c>
      <c r="C34" s="41" t="n"/>
      <c r="D34" s="43" t="inlineStr">
        <is>
          <t>Make:</t>
        </is>
      </c>
      <c r="E34" s="41" t="n"/>
      <c r="F34" s="43" t="inlineStr">
        <is>
          <t>Model:</t>
        </is>
      </c>
      <c r="G34" s="41" t="n"/>
      <c r="H34" s="43" t="inlineStr">
        <is>
          <t>Color:</t>
        </is>
      </c>
      <c r="I34" s="44" t="n"/>
      <c r="K34" s="24" t="inlineStr">
        <is>
          <t>SALES TAX</t>
        </is>
      </c>
      <c r="L34" s="28" t="n"/>
    </row>
    <row r="35" ht="14" customHeight="1">
      <c r="B35" s="40" t="inlineStr">
        <is>
          <t>VIN:</t>
        </is>
      </c>
      <c r="C35" s="41" t="n"/>
      <c r="D35" s="6" t="n"/>
      <c r="E35" s="45" t="inlineStr">
        <is>
          <t>(Trade Vehicle 1)</t>
        </is>
      </c>
      <c r="F35" s="43" t="inlineStr">
        <is>
          <t>Odometer Reading:</t>
        </is>
      </c>
      <c r="G35" s="41" t="n"/>
      <c r="H35" s="43" t="inlineStr">
        <is>
          <t>☐ Not Accurate</t>
        </is>
      </c>
      <c r="I35" s="27" t="n"/>
      <c r="K35" s="24" t="inlineStr">
        <is>
          <t>DEALER'S INVENTORY TAX</t>
        </is>
      </c>
      <c r="L35" s="28" t="n"/>
    </row>
    <row r="36" ht="14" customHeight="1">
      <c r="B36" s="40" t="inlineStr">
        <is>
          <t>Trade Allowance:</t>
        </is>
      </c>
      <c r="C36" s="46" t="n"/>
      <c r="D36" s="43" t="inlineStr">
        <is>
          <t>Balance Owed to Lienholder:</t>
        </is>
      </c>
      <c r="E36" s="26" t="n"/>
      <c r="F36" s="46" t="n"/>
      <c r="G36" s="6" t="n"/>
      <c r="H36" s="26" t="n"/>
      <c r="I36" s="27" t="n"/>
      <c r="K36" s="24" t="inlineStr">
        <is>
          <t>DOCUMENTARY FEE*</t>
        </is>
      </c>
      <c r="L36" s="28" t="n"/>
    </row>
    <row r="37" ht="14" customHeight="1">
      <c r="B37" s="40" t="inlineStr">
        <is>
          <t>Lienholder Name:</t>
        </is>
      </c>
      <c r="C37" s="41" t="n"/>
      <c r="D37" s="6" t="n"/>
      <c r="E37" s="6" t="n"/>
      <c r="F37" s="6" t="n"/>
      <c r="G37" s="6" t="n"/>
      <c r="H37" s="6" t="n"/>
      <c r="I37" s="42" t="n"/>
      <c r="K37" s="24" t="inlineStr">
        <is>
          <t>STATE INSPECTION FEE</t>
        </is>
      </c>
      <c r="L37" s="28" t="n"/>
    </row>
    <row r="38" ht="14" customHeight="1">
      <c r="B38" s="40" t="inlineStr">
        <is>
          <t>Lienholder Address:</t>
        </is>
      </c>
      <c r="C38" s="41" t="n"/>
      <c r="D38" s="6" t="n"/>
      <c r="E38" s="6" t="n"/>
      <c r="F38" s="6" t="n"/>
      <c r="G38" s="6" t="n"/>
      <c r="H38" s="6" t="n"/>
      <c r="I38" s="42" t="n"/>
      <c r="K38" s="24" t="inlineStr">
        <is>
          <t>DEPUTY SERVICE FEE</t>
        </is>
      </c>
      <c r="L38" s="28" t="n"/>
    </row>
    <row r="39" ht="14" customHeight="1">
      <c r="B39" s="40" t="inlineStr">
        <is>
          <t>Year:</t>
        </is>
      </c>
      <c r="C39" s="41" t="n"/>
      <c r="D39" s="43" t="inlineStr">
        <is>
          <t>Make:</t>
        </is>
      </c>
      <c r="E39" s="41" t="n"/>
      <c r="F39" s="43" t="inlineStr">
        <is>
          <t>Model:</t>
        </is>
      </c>
      <c r="G39" s="41" t="n"/>
      <c r="H39" s="43" t="inlineStr">
        <is>
          <t>Color:</t>
        </is>
      </c>
      <c r="I39" s="44" t="n"/>
      <c r="K39" s="24" t="inlineStr">
        <is>
          <t>LICENSE FEE</t>
        </is>
      </c>
      <c r="L39" s="28" t="n"/>
    </row>
    <row r="40" ht="14" customHeight="1">
      <c r="B40" s="40" t="inlineStr">
        <is>
          <t>VIN:</t>
        </is>
      </c>
      <c r="C40" s="41" t="n"/>
      <c r="D40" s="6" t="n"/>
      <c r="E40" s="45" t="inlineStr">
        <is>
          <t>(Trade Vehicle 2)</t>
        </is>
      </c>
      <c r="F40" s="43" t="inlineStr">
        <is>
          <t>Odometer Reading:</t>
        </is>
      </c>
      <c r="G40" s="41" t="n"/>
      <c r="H40" s="43" t="inlineStr">
        <is>
          <t>☐ Not Accurate</t>
        </is>
      </c>
      <c r="I40" s="27" t="n"/>
      <c r="K40" s="24" t="inlineStr">
        <is>
          <t>TITLE FEE</t>
        </is>
      </c>
      <c r="L40" s="28" t="n"/>
    </row>
    <row r="41" ht="14" customHeight="1">
      <c r="B41" s="47" t="inlineStr">
        <is>
          <t>Trade Allowance:</t>
        </is>
      </c>
      <c r="C41" s="46" t="n"/>
      <c r="D41" s="48" t="inlineStr">
        <is>
          <t>Balance Owed to Lienholder:</t>
        </is>
      </c>
      <c r="E41" s="30" t="n"/>
      <c r="F41" s="46" t="n"/>
      <c r="G41" s="6" t="n"/>
      <c r="H41" s="30" t="n"/>
      <c r="I41" s="31" t="n"/>
      <c r="K41" s="24" t="inlineStr">
        <is>
          <t>City Road &amp; Bridge</t>
        </is>
      </c>
      <c r="L41" s="28" t="n"/>
    </row>
    <row r="42" ht="14" customHeight="1">
      <c r="B42" s="17" t="inlineStr">
        <is>
          <t>OTHER MATERIAL UNDERSTANDINGS AND INTEGRATED DOCUMENTS</t>
        </is>
      </c>
      <c r="C42" s="14" t="n"/>
      <c r="D42" s="14" t="n"/>
      <c r="E42" s="14" t="n"/>
      <c r="F42" s="14" t="n"/>
      <c r="G42" s="14" t="n"/>
      <c r="H42" s="14" t="n"/>
      <c r="I42" s="11" t="n"/>
      <c r="K42" s="24" t="inlineStr">
        <is>
          <t>Processing Fee</t>
        </is>
      </c>
      <c r="L42" s="28" t="n"/>
    </row>
    <row r="43" ht="14" customHeight="1">
      <c r="B43" s="49" t="inlineStr">
        <is>
          <t>☐  PLEASE SEE THE DELIVERY CONFIRMATION</t>
        </is>
      </c>
      <c r="C43" s="21" t="n"/>
      <c r="D43" s="21" t="n"/>
      <c r="E43" s="21" t="n"/>
      <c r="F43" s="21" t="n"/>
      <c r="G43" s="21" t="n"/>
      <c r="H43" s="21" t="n"/>
      <c r="I43" s="22" t="n"/>
      <c r="K43" s="24" t="inlineStr">
        <is>
          <t>Govt Vehicle Inspection Replacement Fee</t>
        </is>
      </c>
      <c r="L43" s="28" t="n"/>
    </row>
    <row r="44" ht="5" customHeight="1">
      <c r="B44" s="50" t="inlineStr">
        <is>
          <t>☐  PLEASE SEE THE CONDITIONAL DELIVERY AGREEMENT</t>
        </is>
      </c>
      <c r="C44" s="26" t="n"/>
      <c r="D44" s="26" t="n"/>
      <c r="E44" s="26" t="n"/>
      <c r="F44" s="26" t="n"/>
      <c r="G44" s="26" t="n"/>
      <c r="H44" s="26" t="n"/>
      <c r="I44" s="27" t="n"/>
    </row>
    <row r="45" ht="14" customHeight="1">
      <c r="B45" s="51" t="inlineStr">
        <is>
          <t>Prospective Lienholder:</t>
        </is>
      </c>
      <c r="C45" s="30" t="n"/>
      <c r="D45" s="41" t="n"/>
      <c r="E45" s="6" t="n"/>
      <c r="F45" s="6" t="n"/>
      <c r="G45" s="6" t="n"/>
      <c r="H45" s="6" t="n"/>
      <c r="I45" s="42" t="n"/>
      <c r="K45" s="34" t="inlineStr">
        <is>
          <t>TOTAL DUE</t>
        </is>
      </c>
      <c r="L45" s="35">
        <f>L33+SUM(L34:L43)</f>
        <v/>
      </c>
    </row>
    <row r="46" ht="14" customHeight="1">
      <c r="B46" s="52" t="inlineStr">
        <is>
          <t>Dealer's Inventory Tax: The Dealer's Inventory Tax charge is intended to reimburse the Dealer for ad valorem taxes on its motor vehicle inventory. The charge, which is paid by the Dealer to the county tax assessor-collector, is not a tax imposed on a consumer by the government, and is not required to be charged to the consumer.</t>
        </is>
      </c>
      <c r="K46" s="24" t="inlineStr">
        <is>
          <t>DOWN PAYMENT</t>
        </is>
      </c>
      <c r="L46" s="28" t="n"/>
    </row>
    <row r="47" ht="14" customHeight="1">
      <c r="K47" s="24" t="inlineStr">
        <is>
          <t>REBATES</t>
        </is>
      </c>
      <c r="L47" s="28" t="n"/>
    </row>
    <row r="48" ht="14" customHeight="1">
      <c r="K48" s="24" t="inlineStr">
        <is>
          <t>LESS CASH DUE AT DELIVERY</t>
        </is>
      </c>
      <c r="L48" s="28" t="n"/>
    </row>
    <row r="49" ht="5" customHeight="1">
      <c r="B49" s="52" t="inlineStr">
        <is>
          <t>*Documentary Fee: A documentary fee is not an official fee. A documentary fee is not required by law, but may be charged to buyers for handling documents relating to the sale. A documentary fee may not exceed a reasonable amount agreed to by the parties. This notice is required by law.  Traducción española: Vea Párrafo 13.</t>
        </is>
      </c>
    </row>
    <row r="50" ht="14" customHeight="1">
      <c r="K50" s="34" t="inlineStr">
        <is>
          <t>AMOUNT TO BE FINANCED</t>
        </is>
      </c>
      <c r="L50" s="35">
        <f>L45-L46-L47-L48</f>
        <v/>
      </c>
    </row>
    <row r="51" ht="15" customHeight="1"/>
    <row r="52" ht="8" customHeight="1"/>
    <row r="53" ht="22" customHeight="1">
      <c r="B53" s="53" t="inlineStr">
        <is>
          <t>Customer Approval:</t>
        </is>
      </c>
      <c r="C53" s="54" t="n"/>
      <c r="D53" s="55" t="n"/>
      <c r="E53" s="56" t="n"/>
      <c r="F53" s="56" t="n"/>
      <c r="G53" s="53" t="inlineStr">
        <is>
          <t>Management Approval:</t>
        </is>
      </c>
      <c r="H53" s="54" t="n"/>
      <c r="I53" s="55" t="n"/>
      <c r="J53" s="56" t="n"/>
      <c r="K53" s="56" t="n"/>
      <c r="L53" s="56" t="n"/>
    </row>
    <row r="54" ht="12" customHeight="1">
      <c r="B54" s="57" t="inlineStr">
        <is>
          <t>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is>
      </c>
    </row>
    <row r="55" ht="12" customHeight="1"/>
    <row r="56" ht="12" customHeight="1"/>
    <row r="57" ht="8" customHeight="1"/>
    <row r="58" ht="14" customHeight="1">
      <c r="B58" s="58" t="inlineStr">
        <is>
          <t>IMPORTANT TERMS AND CONDITIONS FOLLOW</t>
        </is>
      </c>
      <c r="K58" s="3" t="inlineStr">
        <is>
          <t>Page 1 of 3</t>
        </is>
      </c>
    </row>
  </sheetData>
  <mergeCells count="58">
    <mergeCell ref="H35:I35"/>
    <mergeCell ref="B7:C7"/>
    <mergeCell ref="B1:D1"/>
    <mergeCell ref="C32:I32"/>
    <mergeCell ref="C38:I38"/>
    <mergeCell ref="B31:I31"/>
    <mergeCell ref="D36:E36"/>
    <mergeCell ref="D53:F53"/>
    <mergeCell ref="H40:I40"/>
    <mergeCell ref="D7:I7"/>
    <mergeCell ref="G15:I15"/>
    <mergeCell ref="C35:D35"/>
    <mergeCell ref="C37:I37"/>
    <mergeCell ref="B43:I43"/>
    <mergeCell ref="B58:F58"/>
    <mergeCell ref="F12:G12"/>
    <mergeCell ref="G14:I14"/>
    <mergeCell ref="D13:E13"/>
    <mergeCell ref="B46:I48"/>
    <mergeCell ref="D9:I9"/>
    <mergeCell ref="B42:I42"/>
    <mergeCell ref="B14:C14"/>
    <mergeCell ref="F36:G36"/>
    <mergeCell ref="G53:H53"/>
    <mergeCell ref="C40:D40"/>
    <mergeCell ref="D41:E41"/>
    <mergeCell ref="C33:I33"/>
    <mergeCell ref="B8:C8"/>
    <mergeCell ref="F41:G41"/>
    <mergeCell ref="B53:C53"/>
    <mergeCell ref="D8:I8"/>
    <mergeCell ref="B17:I17"/>
    <mergeCell ref="K58:L58"/>
    <mergeCell ref="B44:I44"/>
    <mergeCell ref="B4:D4"/>
    <mergeCell ref="B25:I28"/>
    <mergeCell ref="B10:L10"/>
    <mergeCell ref="F13:G13"/>
    <mergeCell ref="B9:C9"/>
    <mergeCell ref="B54:L56"/>
    <mergeCell ref="H13:I13"/>
    <mergeCell ref="B16:D16"/>
    <mergeCell ref="D12:E12"/>
    <mergeCell ref="B49:I51"/>
    <mergeCell ref="B6:C6"/>
    <mergeCell ref="B3:D3"/>
    <mergeCell ref="H12:I12"/>
    <mergeCell ref="B15:C15"/>
    <mergeCell ref="I53:L53"/>
    <mergeCell ref="E16:I16"/>
    <mergeCell ref="B24:I24"/>
    <mergeCell ref="B45:C45"/>
    <mergeCell ref="D45:I45"/>
    <mergeCell ref="E1:I2"/>
    <mergeCell ref="D6:I6"/>
    <mergeCell ref="B29:I30"/>
    <mergeCell ref="B2:D2"/>
    <mergeCell ref="B18:I23"/>
  </mergeCells>
  <pageMargins left="0.3" right="0.3" top="0.3" bottom="0.3" header="0.5" footer="0.5"/>
  <pageSetup orientation="portrait" paperSize="1" fitToHeight="1" fitToWidth="1"/>
</worksheet>
</file>

<file path=xl/worksheets/sheet2.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26" customWidth="1" min="1" max="1"/>
    <col width="62" customWidth="1" min="2" max="2"/>
    <col width="22" customWidth="1" min="3" max="3"/>
  </cols>
  <sheetData>
    <row r="1">
      <c r="A1" s="59" t="inlineStr">
        <is>
          <t>RETAIL PURCHASE AGREEMENT</t>
        </is>
      </c>
      <c r="B1" s="60" t="inlineStr">
        <is>
          <t>空白フォーム / Blank form - 記入ガイド</t>
        </is>
      </c>
    </row>
    <row r="3">
      <c r="A3" s="61" t="inlineStr">
        <is>
          <t>入力欄 (Input)</t>
        </is>
      </c>
      <c r="B3" s="62" t="inlineStr">
        <is>
          <t>説明</t>
        </is>
      </c>
      <c r="C3" s="61" t="inlineStr">
        <is>
          <t>記入例 (Example)</t>
        </is>
      </c>
    </row>
    <row r="4">
      <c r="A4" s="63" t="inlineStr">
        <is>
          <t>L1 / L2</t>
        </is>
      </c>
      <c r="B4" s="64" t="inlineStr">
        <is>
          <t>CUST# / Deal Number</t>
        </is>
      </c>
      <c r="C4" s="63" t="inlineStr">
        <is>
          <t>408132 / 343179</t>
        </is>
      </c>
    </row>
    <row r="5">
      <c r="A5" s="63" t="inlineStr">
        <is>
          <t>D6:I6 / L6</t>
        </is>
      </c>
      <c r="B5" s="64" t="inlineStr">
        <is>
          <t>Purchaser's Name(s) / Date</t>
        </is>
      </c>
      <c r="C5" s="63" t="inlineStr">
        <is>
          <t>JOHN DOE / 08/06/2026</t>
        </is>
      </c>
    </row>
    <row r="6">
      <c r="A6" s="63" t="inlineStr">
        <is>
          <t>D7:I7 / L7</t>
        </is>
      </c>
      <c r="B6" s="64" t="inlineStr">
        <is>
          <t>Address(es) / County</t>
        </is>
      </c>
      <c r="C6" s="63" t="inlineStr">
        <is>
          <t>541 RUBY RIVER DR / MADISON</t>
        </is>
      </c>
    </row>
    <row r="7">
      <c r="A7" s="63" t="inlineStr">
        <is>
          <t>D8:I8 / L8</t>
        </is>
      </c>
      <c r="B7" s="64" t="inlineStr">
        <is>
          <t>Telephone (1) / Telephone (2)</t>
        </is>
      </c>
      <c r="C7" s="63" t="inlineStr">
        <is>
          <t>555-0100 / N/A</t>
        </is>
      </c>
    </row>
    <row r="8">
      <c r="A8" s="63" t="inlineStr">
        <is>
          <t>D9:I9 / L9</t>
        </is>
      </c>
      <c r="B8" s="64" t="inlineStr">
        <is>
          <t>Email (1) / Email (2)</t>
        </is>
      </c>
      <c r="C8" s="63" t="inlineStr">
        <is>
          <t>sample@example.com</t>
        </is>
      </c>
    </row>
    <row r="9">
      <c r="A9" s="63" t="inlineStr">
        <is>
          <t>B13:I13</t>
        </is>
      </c>
      <c r="B9" s="64" t="inlineStr">
        <is>
          <t>YEAR / MAKE / MODEL / COLOR / STOCK NO.</t>
        </is>
      </c>
      <c r="C9" s="63" t="inlineStr">
        <is>
          <t>2026 / FORD / BRONCO</t>
        </is>
      </c>
    </row>
    <row r="10">
      <c r="A10" s="63" t="inlineStr">
        <is>
          <t>B15:I15</t>
        </is>
      </c>
      <c r="B10" s="64" t="inlineStr">
        <is>
          <t>VIN / ODOMETER READING / SALESPERSON</t>
        </is>
      </c>
      <c r="C10" s="63" t="inlineStr">
        <is>
          <t>1FMEE4DP3TLB00730 / 11</t>
        </is>
      </c>
    </row>
    <row r="11">
      <c r="A11" s="63" t="inlineStr">
        <is>
          <t>B16:I16</t>
        </is>
      </c>
      <c r="B11" s="64" t="inlineStr">
        <is>
          <t>New・Used、Prior Use Disclosure のチェック欄 (☐ を ☑ に置換)</t>
        </is>
      </c>
      <c r="C11" s="63" t="inlineStr">
        <is>
          <t>☑ NEW</t>
        </is>
      </c>
    </row>
    <row r="12">
      <c r="A12" s="63" t="inlineStr">
        <is>
          <t>C32:I41</t>
        </is>
      </c>
      <c r="B12" s="64" t="inlineStr">
        <is>
          <t>TRADE VEHICLE INFORMATION (下取車1・2)</t>
        </is>
      </c>
      <c r="C12" s="63" t="inlineStr">
        <is>
          <t>N/A</t>
        </is>
      </c>
    </row>
    <row r="13">
      <c r="A13" s="63" t="inlineStr">
        <is>
          <t>D45</t>
        </is>
      </c>
      <c r="B13" s="64" t="inlineStr">
        <is>
          <t>Prospective Lienholder</t>
        </is>
      </c>
      <c r="C13" s="63" t="inlineStr">
        <is>
          <t>N/A</t>
        </is>
      </c>
    </row>
    <row r="14">
      <c r="A14" s="63" t="inlineStr">
        <is>
          <t>L17</t>
        </is>
      </c>
      <c r="B14" s="64" t="inlineStr">
        <is>
          <t>Base Selling Price</t>
        </is>
      </c>
      <c r="C14" s="63" t="inlineStr">
        <is>
          <t>$52,810.00</t>
        </is>
      </c>
    </row>
    <row r="15">
      <c r="A15" s="63" t="inlineStr">
        <is>
          <t>K19:L30</t>
        </is>
      </c>
      <c r="B15" s="64" t="inlineStr">
        <is>
          <t>Optional Items - 品名を K 列、金額を L 列に入力</t>
        </is>
      </c>
      <c r="C15" s="63" t="inlineStr">
        <is>
          <t>ALARM-AT / $305.00</t>
        </is>
      </c>
    </row>
    <row r="16">
      <c r="A16" s="63" t="inlineStr">
        <is>
          <t>L32</t>
        </is>
      </c>
      <c r="B16" s="64" t="inlineStr">
        <is>
          <t>LESS: TRADE IN ALLOWANCE</t>
        </is>
      </c>
      <c r="C16" s="63" t="inlineStr">
        <is>
          <t>$0.00</t>
        </is>
      </c>
    </row>
    <row r="17">
      <c r="A17" s="63" t="inlineStr">
        <is>
          <t>L34:L43</t>
        </is>
      </c>
      <c r="B17" s="64" t="inlineStr">
        <is>
          <t>各種税金・手数料 (SALES TAX 〜 Govt Vehicle Inspection Replacement Fee)</t>
        </is>
      </c>
      <c r="C17" s="63" t="inlineStr">
        <is>
          <t>$225.00</t>
        </is>
      </c>
    </row>
    <row r="18">
      <c r="A18" s="63" t="inlineStr">
        <is>
          <t>L46 / L47 / L48</t>
        </is>
      </c>
      <c r="B18" s="64" t="inlineStr">
        <is>
          <t>DOWN PAYMENT / REBATES / LESS CASH DUE AT DELIVERY</t>
        </is>
      </c>
      <c r="C18" s="63" t="inlineStr">
        <is>
          <t>$0.00 / $2,000.00 / $0.00</t>
        </is>
      </c>
    </row>
    <row r="19">
      <c r="A19" s="63" t="inlineStr">
        <is>
          <t>D53 / I53</t>
        </is>
      </c>
      <c r="B19" s="64" t="inlineStr">
        <is>
          <t>Customer Approval / Management Approval (署名欄)</t>
        </is>
      </c>
      <c r="C19" s="63" t="inlineStr">
        <is>
          <t>署名</t>
        </is>
      </c>
    </row>
    <row r="21">
      <c r="A21" s="61" t="inlineStr">
        <is>
          <t>自動計算 (編集しないこと)</t>
        </is>
      </c>
      <c r="B21" s="62" t="inlineStr">
        <is>
          <t>計算式</t>
        </is>
      </c>
      <c r="C21" s="61" t="inlineStr"/>
    </row>
    <row r="22">
      <c r="A22" s="63" t="inlineStr">
        <is>
          <t>L31  TOTAL SELLING PRICE</t>
        </is>
      </c>
      <c r="B22" s="64">
        <f> L17 + SUM(L19:L30)</f>
        <v/>
      </c>
      <c r="C22" s="63" t="inlineStr"/>
    </row>
    <row r="23">
      <c r="A23" s="63" t="inlineStr">
        <is>
          <t>L33  SUBTOTAL</t>
        </is>
      </c>
      <c r="B23" s="64">
        <f> L31 - L32</f>
        <v/>
      </c>
      <c r="C23" s="63" t="inlineStr"/>
    </row>
    <row r="24">
      <c r="A24" s="63" t="inlineStr">
        <is>
          <t>L45  TOTAL DUE</t>
        </is>
      </c>
      <c r="B24" s="64">
        <f> L33 + SUM(L34:L43)</f>
        <v/>
      </c>
      <c r="C24" s="63" t="inlineStr"/>
    </row>
    <row r="25">
      <c r="A25" s="63" t="inlineStr">
        <is>
          <t>L50  AMOUNT TO BE FINANCED</t>
        </is>
      </c>
      <c r="B25" s="64">
        <f> L45 - L46 - L47 - L48</f>
        <v/>
      </c>
      <c r="C25" s="63" t="inlineStr"/>
    </row>
    <row r="27">
      <c r="A27" s="63" t="inlineStr">
        <is>
          <t>備考</t>
        </is>
      </c>
      <c r="B27" s="64" t="inlineStr">
        <is>
          <t>・金額欄の書式は $#,##0.00 (USD)。マイナスは ($#,##0.00)、空欄は「-」と表示されます。</t>
        </is>
      </c>
      <c r="C27" s="63" t="inlineStr"/>
    </row>
    <row r="28">
      <c r="A28" s="63" t="inlineStr"/>
      <c r="B28" s="64" t="inlineStr">
        <is>
          <t>・グレー網掛けの行は数式です。上書きすると再計算されません。</t>
        </is>
      </c>
      <c r="C28" s="63" t="inlineStr"/>
    </row>
    <row r="29">
      <c r="A29" s="63" t="inlineStr"/>
      <c r="B29" s="64" t="inlineStr">
        <is>
          <t>・ディーラー名・住所 (B1:D4) は必要に応じて書き換えてください。</t>
        </is>
      </c>
      <c r="C29" s="63" t="inlineStr"/>
    </row>
    <row r="30">
      <c r="A30" s="63" t="inlineStr"/>
      <c r="B30" s="64" t="inlineStr">
        <is>
          <t>・印刷設定: レター / 縦 / 1ページに収める。</t>
        </is>
      </c>
      <c r="C30" s="6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2026-08-28T06:35:54Z</dcterms:created>
  <dcterms:modified xsi:type="dcterms:W3CDTF">2026-08-28T06:35:54Z</dcterms:modified>
</cp:coreProperties>
</file>