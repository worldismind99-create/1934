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tail Purchase Agreement" sheetId="1" state="visible" r:id="rId1"/>
    <sheet name="使い方 (Instructions)" sheetId="2" state="visible" r:id="rId2"/>
  </sheets>
  <definedNames>
    <definedName name="_xlnm.Print_Area" localSheetId="0">'Retail Purchase Agreement'!$A$1:$M$64</definedName>
  </definedNames>
  <calcPr calcId="124519" fullCalcOnLoad="1"/>
</workbook>
</file>

<file path=xl/styles.xml><?xml version="1.0" encoding="utf-8"?>
<styleSheet xmlns="http://schemas.openxmlformats.org/spreadsheetml/2006/main">
  <numFmts count="1">
    <numFmt numFmtId="164" formatCode="$#,##0.00;($#,##0.00);&quot;-&quot;"/>
  </numFmts>
  <fonts count="19">
    <font>
      <name val="Calibri"/>
      <family val="2"/>
      <color theme="1"/>
      <sz val="11"/>
      <scheme val="minor"/>
    </font>
    <font>
      <name val="Arial"/>
      <b val="1"/>
      <sz val="10"/>
    </font>
    <font>
      <name val="Arial"/>
      <sz val="8.5"/>
    </font>
    <font>
      <name val="Arial"/>
      <b val="1"/>
      <sz val="14"/>
    </font>
    <font>
      <name val="Arial"/>
      <sz val="8"/>
    </font>
    <font>
      <name val="Arial"/>
      <sz val="9"/>
    </font>
    <font>
      <name val="Arial"/>
      <sz val="6.5"/>
    </font>
    <font>
      <name val="Arial"/>
      <b val="1"/>
      <sz val="7.5"/>
    </font>
    <font>
      <name val="Arial"/>
      <i val="1"/>
      <sz val="7"/>
    </font>
    <font>
      <name val="Arial"/>
      <b val="1"/>
      <sz val="6.5"/>
    </font>
    <font>
      <name val="Arial"/>
      <b val="1"/>
      <sz val="7"/>
    </font>
    <font>
      <name val="Arial"/>
      <b val="1"/>
      <sz val="6"/>
    </font>
    <font>
      <name val="Arial"/>
      <sz val="7"/>
    </font>
    <font>
      <name val="Arial"/>
      <b val="1"/>
      <sz val="9"/>
    </font>
    <font>
      <name val="Arial"/>
      <sz val="7.5"/>
    </font>
    <font>
      <name val="Arial"/>
      <i val="1"/>
      <sz val="7.5"/>
    </font>
    <font>
      <name val="Arial"/>
      <b val="1"/>
      <sz val="8"/>
    </font>
    <font>
      <name val="Arial"/>
      <sz val="10"/>
    </font>
    <font>
      <name val="Arial"/>
      <b val="1"/>
      <sz val="12"/>
    </font>
  </fonts>
  <fills count="3">
    <fill>
      <patternFill/>
    </fill>
    <fill>
      <patternFill patternType="gray125"/>
    </fill>
    <fill>
      <patternFill patternType="solid">
        <fgColor rgb="00EFEFEF"/>
      </patternFill>
    </fill>
  </fills>
  <borders count="23">
    <border>
      <left/>
      <right/>
      <top/>
      <bottom/>
      <diagonal/>
    </border>
    <border>
      <bottom style="thin">
        <color rgb="00000000"/>
      </bottom>
    </border>
    <border>
      <left style="thin">
        <color rgb="00000000"/>
      </left>
      <right/>
      <top style="thin">
        <color rgb="00000000"/>
      </top>
      <bottom/>
    </border>
    <border>
      <left/>
      <right style="thin">
        <color rgb="00000000"/>
      </right>
      <top style="thin">
        <color rgb="00000000"/>
      </top>
      <bottom/>
    </border>
    <border>
      <left style="thin">
        <color rgb="00000000"/>
      </left>
      <right/>
      <top/>
      <bottom/>
    </border>
    <border>
      <left/>
      <right style="thin">
        <color rgb="00000000"/>
      </right>
      <top/>
      <bottom/>
    </border>
    <border>
      <left style="thin">
        <color rgb="00000000"/>
      </left>
      <right/>
      <top/>
      <bottom style="thin">
        <color rgb="00000000"/>
      </bottom>
    </border>
    <border>
      <left/>
      <right style="thin">
        <color rgb="00000000"/>
      </right>
      <top/>
      <bottom style="thin">
        <color rgb="00000000"/>
      </bottom>
    </border>
    <border>
      <left style="thin">
        <color rgb="00000000"/>
      </left>
      <right style="thin">
        <color rgb="00000000"/>
      </right>
      <top style="thin">
        <color rgb="00000000"/>
      </top>
      <bottom style="thin">
        <color rgb="00000000"/>
      </bottom>
    </border>
    <border>
      <left style="thin">
        <color rgb="00000000"/>
      </left>
      <right/>
      <top style="thin">
        <color rgb="00000000"/>
      </top>
      <bottom style="thin">
        <color rgb="00000000"/>
      </bottom>
    </border>
    <border>
      <left/>
      <right style="thin">
        <color rgb="00000000"/>
      </right>
      <top style="thin">
        <color rgb="00000000"/>
      </top>
      <bottom style="thin">
        <color rgb="00000000"/>
      </bottom>
    </border>
    <border>
      <left/>
      <right/>
      <top style="thin">
        <color rgb="00000000"/>
      </top>
      <bottom style="thin">
        <color rgb="00000000"/>
      </bottom>
    </border>
    <border>
      <left/>
      <right/>
      <top style="thin">
        <color rgb="00000000"/>
      </top>
      <bottom/>
    </border>
    <border>
      <left/>
      <right/>
      <top/>
      <bottom/>
    </border>
    <border>
      <left/>
      <right/>
      <top/>
      <bottom style="thin">
        <color rgb="00000000"/>
      </bottom>
    </border>
    <border>
      <top style="thin">
        <color rgb="00000000"/>
      </top>
      <bottom style="thin">
        <color rgb="00000000"/>
      </bottom>
    </border>
    <border>
      <right style="thin">
        <color rgb="00000000"/>
      </right>
      <top style="thin">
        <color rgb="00000000"/>
      </top>
      <bottom style="thin">
        <color rgb="00000000"/>
      </bottom>
    </border>
    <border>
      <right style="thin">
        <color rgb="00000000"/>
      </right>
      <bottom style="thin">
        <color rgb="00000000"/>
      </bottom>
    </border>
    <border>
      <top style="medium">
        <color rgb="00000000"/>
      </top>
    </border>
    <border>
      <left/>
      <right/>
      <top style="medium">
        <color rgb="00000000"/>
      </top>
      <bottom/>
      <diagonal/>
    </border>
    <border>
      <top style="medium">
        <color rgb="00000000"/>
      </top>
      <bottom style="thin">
        <color rgb="00000000"/>
      </bottom>
    </border>
    <border>
      <left style="thin">
        <color rgb="00000000"/>
      </left>
      <top style="thin">
        <color rgb="00000000"/>
      </top>
    </border>
    <border>
      <top style="thin">
        <color rgb="00000000"/>
      </top>
    </border>
  </borders>
  <cellStyleXfs count="1">
    <xf numFmtId="0" fontId="0" fillId="0" borderId="0"/>
  </cellStyleXfs>
  <cellXfs count="68">
    <xf numFmtId="0" fontId="0" fillId="0" borderId="0" pivotButton="0" quotePrefix="0" xfId="0"/>
    <xf numFmtId="0" fontId="1" fillId="0" borderId="0" applyAlignment="1" pivotButton="0" quotePrefix="0" xfId="0">
      <alignment horizontal="left" vertical="center"/>
    </xf>
    <xf numFmtId="0" fontId="3" fillId="0" borderId="0" applyAlignment="1" pivotButton="0" quotePrefix="0" xfId="0">
      <alignment horizontal="center" vertical="center"/>
    </xf>
    <xf numFmtId="0" fontId="2" fillId="0" borderId="0" applyAlignment="1" pivotButton="0" quotePrefix="0" xfId="0">
      <alignment horizontal="left" vertical="center"/>
    </xf>
    <xf numFmtId="0" fontId="0" fillId="0" borderId="2" pivotButton="0" quotePrefix="0" xfId="0"/>
    <xf numFmtId="0" fontId="0" fillId="0" borderId="3" pivotButton="0" quotePrefix="0" xfId="0"/>
    <xf numFmtId="0" fontId="4" fillId="0" borderId="0" applyAlignment="1" pivotButton="0" quotePrefix="0" xfId="0">
      <alignment horizontal="right" vertical="center"/>
    </xf>
    <xf numFmtId="0" fontId="5" fillId="0" borderId="1" applyAlignment="1" pivotButton="0" quotePrefix="0" xfId="0">
      <alignment horizontal="left" vertical="center"/>
    </xf>
    <xf numFmtId="0" fontId="0" fillId="0" borderId="4" pivotButton="0" quotePrefix="0" xfId="0"/>
    <xf numFmtId="0" fontId="0" fillId="0" borderId="5" pivotButton="0" quotePrefix="0" xfId="0"/>
    <xf numFmtId="0" fontId="4" fillId="0" borderId="0" applyAlignment="1" pivotButton="0" quotePrefix="0" xfId="0">
      <alignment horizontal="left" vertical="center"/>
    </xf>
    <xf numFmtId="0" fontId="0" fillId="0" borderId="1" pivotButton="0" quotePrefix="0" xfId="0"/>
    <xf numFmtId="0" fontId="0" fillId="0" borderId="6" pivotButton="0" quotePrefix="0" xfId="0"/>
    <xf numFmtId="0" fontId="0" fillId="0" borderId="7" pivotButton="0" quotePrefix="0" xfId="0"/>
    <xf numFmtId="0" fontId="6" fillId="0" borderId="0" applyAlignment="1" pivotButton="0" quotePrefix="0" xfId="0">
      <alignment horizontal="left" vertical="center" wrapText="1"/>
    </xf>
    <xf numFmtId="0" fontId="7" fillId="0" borderId="0" applyAlignment="1" pivotButton="0" quotePrefix="0" xfId="0">
      <alignment horizontal="center" vertical="center"/>
    </xf>
    <xf numFmtId="0" fontId="5" fillId="0" borderId="8" applyAlignment="1" pivotButton="0" quotePrefix="0" xfId="0">
      <alignment horizontal="center" vertical="center"/>
    </xf>
    <xf numFmtId="0" fontId="5" fillId="0" borderId="9" applyAlignment="1" pivotButton="0" quotePrefix="0" xfId="0">
      <alignment horizontal="center" vertical="center"/>
    </xf>
    <xf numFmtId="0" fontId="0" fillId="0" borderId="10" pivotButton="0" quotePrefix="0" xfId="0"/>
    <xf numFmtId="0" fontId="8" fillId="0" borderId="0" applyAlignment="1" pivotButton="0" quotePrefix="0" xfId="0">
      <alignment horizontal="center" vertical="center"/>
    </xf>
    <xf numFmtId="0" fontId="9" fillId="0" borderId="0" applyAlignment="1" pivotButton="0" quotePrefix="0" xfId="0">
      <alignment horizontal="center" vertical="center" wrapText="1"/>
    </xf>
    <xf numFmtId="0" fontId="0" fillId="0" borderId="11" pivotButton="0" quotePrefix="0" xfId="0"/>
    <xf numFmtId="0" fontId="10" fillId="0" borderId="9" applyAlignment="1" pivotButton="0" quotePrefix="0" xfId="0">
      <alignment horizontal="left" vertical="center" wrapText="1"/>
    </xf>
    <xf numFmtId="0" fontId="11" fillId="0" borderId="11" applyAlignment="1" pivotButton="0" quotePrefix="0" xfId="0">
      <alignment horizontal="left" vertical="center" wrapText="1"/>
    </xf>
    <xf numFmtId="0" fontId="1" fillId="0" borderId="9" applyAlignment="1" pivotButton="0" quotePrefix="0" xfId="0">
      <alignment horizontal="center" vertical="center"/>
    </xf>
    <xf numFmtId="0" fontId="7" fillId="0" borderId="8" applyAlignment="1" pivotButton="0" quotePrefix="0" xfId="0">
      <alignment horizontal="left" vertical="center" shrinkToFit="1"/>
    </xf>
    <xf numFmtId="164" fontId="13" fillId="0" borderId="8" applyAlignment="1" pivotButton="0" quotePrefix="0" xfId="0">
      <alignment horizontal="right" vertical="center"/>
    </xf>
    <xf numFmtId="0" fontId="12" fillId="0" borderId="2" applyAlignment="1" pivotButton="0" quotePrefix="0" xfId="0">
      <alignment horizontal="left" vertical="top" wrapText="1"/>
    </xf>
    <xf numFmtId="0" fontId="0" fillId="0" borderId="12" pivotButton="0" quotePrefix="0" xfId="0"/>
    <xf numFmtId="0" fontId="15" fillId="0" borderId="8" applyAlignment="1" pivotButton="0" quotePrefix="0" xfId="0">
      <alignment horizontal="left" vertical="center"/>
    </xf>
    <xf numFmtId="0" fontId="0" fillId="0" borderId="8" pivotButton="0" quotePrefix="0" xfId="0"/>
    <xf numFmtId="0" fontId="0" fillId="0" borderId="13" pivotButton="0" quotePrefix="0" xfId="0"/>
    <xf numFmtId="0" fontId="14" fillId="0" borderId="8" applyAlignment="1" pivotButton="0" quotePrefix="0" xfId="0">
      <alignment horizontal="left" vertical="center" shrinkToFit="1"/>
    </xf>
    <xf numFmtId="164" fontId="5" fillId="0" borderId="8" applyAlignment="1" pivotButton="0" quotePrefix="0" xfId="0">
      <alignment horizontal="right" vertical="center"/>
    </xf>
    <xf numFmtId="0" fontId="0" fillId="0" borderId="14" pivotButton="0" quotePrefix="0" xfId="0"/>
    <xf numFmtId="0" fontId="10" fillId="0" borderId="2" applyAlignment="1" pivotButton="0" quotePrefix="0" xfId="0">
      <alignment horizontal="left" vertical="center"/>
    </xf>
    <xf numFmtId="0" fontId="12" fillId="0" borderId="4" applyAlignment="1" pivotButton="0" quotePrefix="0" xfId="0">
      <alignment horizontal="left" vertical="top" wrapText="1"/>
    </xf>
    <xf numFmtId="0" fontId="12" fillId="0" borderId="2" applyAlignment="1" pivotButton="0" quotePrefix="0" xfId="0">
      <alignment horizontal="left" vertical="center"/>
    </xf>
    <xf numFmtId="0" fontId="4" fillId="0" borderId="15" applyAlignment="1" pivotButton="0" quotePrefix="0" xfId="0">
      <alignment horizontal="left" vertical="center"/>
    </xf>
    <xf numFmtId="0" fontId="0" fillId="0" borderId="15" pivotButton="0" quotePrefix="0" xfId="0"/>
    <xf numFmtId="0" fontId="0" fillId="0" borderId="16" pivotButton="0" quotePrefix="0" xfId="0"/>
    <xf numFmtId="0" fontId="12" fillId="0" borderId="4" applyAlignment="1" pivotButton="0" quotePrefix="0" xfId="0">
      <alignment horizontal="left" vertical="center"/>
    </xf>
    <xf numFmtId="0" fontId="4" fillId="0" borderId="1" applyAlignment="1" pivotButton="0" quotePrefix="0" xfId="0">
      <alignment horizontal="left" vertical="center"/>
    </xf>
    <xf numFmtId="0" fontId="0" fillId="0" borderId="17" pivotButton="0" quotePrefix="0" xfId="0"/>
    <xf numFmtId="0" fontId="12" fillId="0" borderId="13" applyAlignment="1" pivotButton="0" quotePrefix="0" xfId="0">
      <alignment horizontal="left" vertical="center"/>
    </xf>
    <xf numFmtId="0" fontId="4" fillId="0" borderId="17" applyAlignment="1" pivotButton="0" quotePrefix="0" xfId="0">
      <alignment horizontal="left" vertical="center"/>
    </xf>
    <xf numFmtId="0" fontId="7" fillId="2" borderId="8" applyAlignment="1" pivotButton="0" quotePrefix="0" xfId="0">
      <alignment horizontal="left" vertical="center" shrinkToFit="1"/>
    </xf>
    <xf numFmtId="164" fontId="13" fillId="2" borderId="8" applyAlignment="1" pivotButton="0" quotePrefix="0" xfId="0">
      <alignment horizontal="right" vertical="center"/>
    </xf>
    <xf numFmtId="0" fontId="6" fillId="0" borderId="13" applyAlignment="1" pivotButton="0" quotePrefix="0" xfId="0">
      <alignment horizontal="left" vertical="center"/>
    </xf>
    <xf numFmtId="164" fontId="4" fillId="0" borderId="1" applyAlignment="1" pivotButton="0" quotePrefix="0" xfId="0">
      <alignment horizontal="left" vertical="center"/>
    </xf>
    <xf numFmtId="0" fontId="12" fillId="0" borderId="6" applyAlignment="1" pivotButton="0" quotePrefix="0" xfId="0">
      <alignment horizontal="left" vertical="center"/>
    </xf>
    <xf numFmtId="0" fontId="12" fillId="0" borderId="14" applyAlignment="1" pivotButton="0" quotePrefix="0" xfId="0">
      <alignment horizontal="left" vertical="center"/>
    </xf>
    <xf numFmtId="0" fontId="13" fillId="0" borderId="9" applyAlignment="1" pivotButton="0" quotePrefix="0" xfId="0">
      <alignment horizontal="center" vertical="center"/>
    </xf>
    <xf numFmtId="0" fontId="14" fillId="0" borderId="2" applyAlignment="1" pivotButton="0" quotePrefix="0" xfId="0">
      <alignment horizontal="left" vertical="center"/>
    </xf>
    <xf numFmtId="0" fontId="14" fillId="0" borderId="4" applyAlignment="1" pivotButton="0" quotePrefix="0" xfId="0">
      <alignment horizontal="left" vertical="center"/>
    </xf>
    <xf numFmtId="0" fontId="14" fillId="0" borderId="6" applyAlignment="1" pivotButton="0" quotePrefix="0" xfId="0">
      <alignment horizontal="left" vertical="center"/>
    </xf>
    <xf numFmtId="0" fontId="10" fillId="0" borderId="0" applyAlignment="1" pivotButton="0" quotePrefix="0" xfId="0">
      <alignment horizontal="left" vertical="top" wrapText="1"/>
    </xf>
    <xf numFmtId="0" fontId="16" fillId="0" borderId="21" applyAlignment="1" pivotButton="0" quotePrefix="0" xfId="0">
      <alignment horizontal="left" vertical="bottom"/>
    </xf>
    <xf numFmtId="0" fontId="17" fillId="0" borderId="15" applyAlignment="1" pivotButton="0" quotePrefix="0" xfId="0">
      <alignment horizontal="left" vertical="bottom"/>
    </xf>
    <xf numFmtId="0" fontId="16" fillId="0" borderId="22" applyAlignment="1" pivotButton="0" quotePrefix="0" xfId="0">
      <alignment horizontal="left" vertical="bottom"/>
    </xf>
    <xf numFmtId="0" fontId="6" fillId="0" borderId="4" applyAlignment="1" pivotButton="0" quotePrefix="0" xfId="0">
      <alignment horizontal="left" vertical="top" wrapText="1"/>
    </xf>
    <xf numFmtId="0" fontId="13" fillId="0" borderId="0" applyAlignment="1" pivotButton="0" quotePrefix="0" xfId="0">
      <alignment horizontal="left" vertical="center"/>
    </xf>
    <xf numFmtId="0" fontId="18" fillId="0" borderId="0" pivotButton="0" quotePrefix="0" xfId="0"/>
    <xf numFmtId="0" fontId="18" fillId="0" borderId="0" applyAlignment="1" pivotButton="0" quotePrefix="0" xfId="0">
      <alignment vertical="top" wrapText="1"/>
    </xf>
    <xf numFmtId="0" fontId="1" fillId="0" borderId="0" pivotButton="0" quotePrefix="0" xfId="0"/>
    <xf numFmtId="0" fontId="1" fillId="0" borderId="0" applyAlignment="1" pivotButton="0" quotePrefix="0" xfId="0">
      <alignment vertical="top" wrapText="1"/>
    </xf>
    <xf numFmtId="0" fontId="17" fillId="0" borderId="0" pivotButton="0" quotePrefix="0" xfId="0"/>
    <xf numFmtId="0" fontId="1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8</col>
      <colOff>38100</colOff>
      <row>2</row>
      <rowOff>209550</rowOff>
    </from>
    <ext cx="1095375" cy="809625"/>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B1:L64"/>
  <sheetViews>
    <sheetView showGridLines="0" workbookViewId="0">
      <selection activeCell="A1" sqref="A1"/>
    </sheetView>
  </sheetViews>
  <sheetFormatPr baseColWidth="8" defaultRowHeight="15"/>
  <cols>
    <col width="1.2" customWidth="1" min="1" max="1"/>
    <col width="7.1" customWidth="1" min="2" max="2"/>
    <col width="7.1" customWidth="1" min="3" max="3"/>
    <col width="7.1" customWidth="1" min="4" max="4"/>
    <col width="7.1" customWidth="1" min="5" max="5"/>
    <col width="7.1" customWidth="1" min="6" max="6"/>
    <col width="7.1" customWidth="1" min="7" max="7"/>
    <col width="7.1" customWidth="1" min="8" max="8"/>
    <col width="7.1" customWidth="1" min="9" max="9"/>
    <col width="9" customWidth="1" min="10" max="10"/>
    <col width="20" customWidth="1" min="11" max="11"/>
    <col width="9.5" customWidth="1" min="12" max="12"/>
    <col width="1.2" customWidth="1" min="13" max="13"/>
  </cols>
  <sheetData>
    <row r="1" ht="20" customHeight="1">
      <c r="B1" s="1" t="inlineStr">
        <is>
          <t>EXCELLENT AUTO SALES AND LEASING</t>
        </is>
      </c>
      <c r="G1" s="2" t="inlineStr">
        <is>
          <t>RETAIL PURCHASE AGREEMENT</t>
        </is>
      </c>
    </row>
    <row r="2" ht="14" customHeight="1">
      <c r="B2" s="3" t="inlineStr">
        <is>
          <t>6419 ALONDRA BLVD</t>
        </is>
      </c>
    </row>
    <row r="3" ht="13" customHeight="1">
      <c r="B3" s="3" t="inlineStr">
        <is>
          <t>PARAMOUNT, CA 90723</t>
        </is>
      </c>
      <c r="I3" s="4" t="n"/>
      <c r="J3" s="5" t="n"/>
      <c r="K3" s="6" t="inlineStr">
        <is>
          <t>CUST#</t>
        </is>
      </c>
      <c r="L3" s="7" t="n"/>
    </row>
    <row r="4" ht="13" customHeight="1">
      <c r="B4" s="3" t="inlineStr">
        <is>
          <t>Tel: (310)906-8117      Fax: (562)529-7997</t>
        </is>
      </c>
      <c r="I4" s="8" t="n"/>
      <c r="J4" s="9" t="n"/>
      <c r="K4" s="6" t="inlineStr">
        <is>
          <t>Deal Number:</t>
        </is>
      </c>
      <c r="L4" s="7" t="n"/>
    </row>
    <row r="5" ht="6" customHeight="1">
      <c r="I5" s="8" t="n"/>
      <c r="J5" s="9" t="n"/>
    </row>
    <row r="6" ht="16" customHeight="1">
      <c r="B6" s="10" t="inlineStr">
        <is>
          <t>Purchaser's Name(s):</t>
        </is>
      </c>
      <c r="D6" s="7" t="n"/>
      <c r="E6" s="11" t="n"/>
      <c r="F6" s="11" t="n"/>
      <c r="G6" s="11" t="n"/>
      <c r="H6" s="11" t="n"/>
      <c r="I6" s="8" t="n"/>
      <c r="J6" s="9" t="n"/>
      <c r="K6" s="6" t="inlineStr">
        <is>
          <t>Date:</t>
        </is>
      </c>
      <c r="L6" s="7" t="n"/>
    </row>
    <row r="7" ht="16" customHeight="1">
      <c r="B7" s="10" t="inlineStr">
        <is>
          <t>Address(es):</t>
        </is>
      </c>
      <c r="D7" s="7" t="n"/>
      <c r="E7" s="11" t="n"/>
      <c r="F7" s="11" t="n"/>
      <c r="G7" s="11" t="n"/>
      <c r="H7" s="11" t="n"/>
      <c r="I7" s="8" t="n"/>
      <c r="J7" s="9" t="n"/>
      <c r="K7" s="6" t="inlineStr">
        <is>
          <t>County:</t>
        </is>
      </c>
      <c r="L7" s="7" t="n"/>
    </row>
    <row r="8" ht="16" customHeight="1">
      <c r="B8" s="10" t="inlineStr">
        <is>
          <t>Telephone (1):</t>
        </is>
      </c>
      <c r="D8" s="7" t="n"/>
      <c r="E8" s="11" t="n"/>
      <c r="F8" s="11" t="n"/>
      <c r="G8" s="11" t="n"/>
      <c r="H8" s="11" t="n"/>
      <c r="I8" s="8" t="n"/>
      <c r="J8" s="9" t="n"/>
      <c r="K8" s="6" t="inlineStr">
        <is>
          <t>Telephone (2):</t>
        </is>
      </c>
      <c r="L8" s="7" t="n"/>
    </row>
    <row r="9" ht="16" customHeight="1">
      <c r="B9" s="10" t="inlineStr">
        <is>
          <t>Email (1):</t>
        </is>
      </c>
      <c r="D9" s="7" t="n"/>
      <c r="E9" s="11" t="n"/>
      <c r="F9" s="11" t="n"/>
      <c r="G9" s="11" t="n"/>
      <c r="H9" s="11" t="n"/>
      <c r="I9" s="12" t="n"/>
      <c r="J9" s="13" t="n"/>
      <c r="K9" s="6" t="inlineStr">
        <is>
          <t>Email (2):</t>
        </is>
      </c>
      <c r="L9" s="7" t="n"/>
    </row>
    <row r="10" ht="20" customHeight="1">
      <c r="B10" s="14" t="inlineStr">
        <is>
          <t>The Odometer Reading for the Vehicle You are purchasing is accurate unless indicated otherwise. Please refer to the Odometer Mileage Statement for full disclosure.</t>
        </is>
      </c>
    </row>
    <row r="11" ht="5" customHeight="1"/>
    <row r="12" ht="13" customHeight="1">
      <c r="B12" s="15" t="inlineStr">
        <is>
          <t>YEAR</t>
        </is>
      </c>
      <c r="C12" s="15" t="inlineStr">
        <is>
          <t>MAKE</t>
        </is>
      </c>
      <c r="D12" s="15" t="inlineStr">
        <is>
          <t>MODEL</t>
        </is>
      </c>
      <c r="F12" s="15" t="inlineStr">
        <is>
          <t>COLOR</t>
        </is>
      </c>
      <c r="H12" s="15" t="inlineStr">
        <is>
          <t>STOCK NO.</t>
        </is>
      </c>
    </row>
    <row r="13" ht="18" customHeight="1">
      <c r="B13" s="16" t="n"/>
      <c r="C13" s="16" t="n"/>
      <c r="D13" s="17" t="n"/>
      <c r="E13" s="18" t="n"/>
      <c r="F13" s="17" t="n"/>
      <c r="G13" s="18" t="n"/>
      <c r="H13" s="17" t="n"/>
      <c r="I13" s="18" t="n"/>
    </row>
    <row r="14" ht="18" customHeight="1">
      <c r="B14" s="15" t="inlineStr">
        <is>
          <t>VIN</t>
        </is>
      </c>
      <c r="D14" s="19" t="inlineStr">
        <is>
          <t>(Vehicle)</t>
        </is>
      </c>
      <c r="E14" s="20" t="inlineStr">
        <is>
          <t>ODOMETER READING
☐ Not Accurate</t>
        </is>
      </c>
      <c r="G14" s="15" t="inlineStr">
        <is>
          <t>SALESPERSON</t>
        </is>
      </c>
    </row>
    <row r="15" ht="18" customHeight="1">
      <c r="B15" s="17" t="n"/>
      <c r="C15" s="18" t="n"/>
      <c r="E15" s="17" t="n"/>
      <c r="F15" s="18" t="n"/>
      <c r="G15" s="17" t="n"/>
      <c r="H15" s="21" t="n"/>
      <c r="I15" s="18" t="n"/>
    </row>
    <row r="16" ht="22" customHeight="1">
      <c r="B16" s="22" t="inlineStr">
        <is>
          <t>THE VEHICLE IS:
☐ NEW      ☐ USED</t>
        </is>
      </c>
      <c r="C16" s="21" t="n"/>
      <c r="D16" s="21" t="n"/>
      <c r="E16" s="23" t="inlineStr">
        <is>
          <t>PRIOR USE DISCLOSURE:   ☐ DEMONSTRATOR   ☐ PREVIOUSLY LEASED   ☐ EXECUTIVE VEHICLE   ☐ RENTAL   ☐ OTHER ______</t>
        </is>
      </c>
      <c r="F16" s="21" t="n"/>
      <c r="G16" s="21" t="n"/>
      <c r="H16" s="21" t="n"/>
      <c r="I16" s="18" t="n"/>
    </row>
    <row r="17" ht="15" customHeight="1">
      <c r="B17" s="24" t="inlineStr">
        <is>
          <t>WARRANTY STATEMENT</t>
        </is>
      </c>
      <c r="C17" s="21" t="n"/>
      <c r="D17" s="21" t="n"/>
      <c r="E17" s="21" t="n"/>
      <c r="F17" s="21" t="n"/>
      <c r="G17" s="21" t="n"/>
      <c r="H17" s="21" t="n"/>
      <c r="I17" s="18" t="n"/>
      <c r="K17" s="25" t="inlineStr">
        <is>
          <t>Base Selling Price</t>
        </is>
      </c>
      <c r="L17" s="26" t="n"/>
    </row>
    <row r="18" ht="11" customHeight="1">
      <c r="B18" s="27" t="inlineStr">
        <is>
          <t>We are selling this Vehicle to You AS-IS and We expressly disclaim all warranties, express and implied, including any implied warranties of merchantability and fitness for a particular purpose, unless the box beside "Used Vehicle Limited Warranty Applies" is marked below or We enter into a service contract with You at the time of, or within 90 days of, the date of this transaction. All warranties, if any, by a manufacturer or supplier other than Our Dealership are theirs, not Ours, and no manufacturer or supplier shall be liable for performance under such warranties. We neither assume nor authorize any other person to assume for Us any liability in connection with the sale of the Vehicle and related goods and services.</t>
        </is>
      </c>
      <c r="C18" s="28" t="n"/>
      <c r="D18" s="28" t="n"/>
      <c r="E18" s="28" t="n"/>
      <c r="F18" s="28" t="n"/>
      <c r="G18" s="28" t="n"/>
      <c r="H18" s="28" t="n"/>
      <c r="I18" s="5" t="n"/>
      <c r="K18" s="29" t="inlineStr">
        <is>
          <t>Optional Items:</t>
        </is>
      </c>
      <c r="L18" s="30" t="n"/>
    </row>
    <row r="19" ht="11" customHeight="1">
      <c r="B19" s="8" t="n"/>
      <c r="C19" s="31" t="n"/>
      <c r="D19" s="31" t="n"/>
      <c r="E19" s="31" t="n"/>
      <c r="F19" s="31" t="n"/>
      <c r="G19" s="31" t="n"/>
      <c r="H19" s="31" t="n"/>
      <c r="I19" s="9" t="n"/>
      <c r="K19" s="32" t="n"/>
      <c r="L19" s="33" t="n"/>
    </row>
    <row r="20" ht="11" customHeight="1">
      <c r="B20" s="8" t="n"/>
      <c r="C20" s="31" t="n"/>
      <c r="D20" s="31" t="n"/>
      <c r="E20" s="31" t="n"/>
      <c r="F20" s="31" t="n"/>
      <c r="G20" s="31" t="n"/>
      <c r="H20" s="31" t="n"/>
      <c r="I20" s="9" t="n"/>
      <c r="K20" s="32" t="n"/>
      <c r="L20" s="33" t="n"/>
    </row>
    <row r="21" ht="11" customHeight="1">
      <c r="B21" s="8" t="n"/>
      <c r="C21" s="31" t="n"/>
      <c r="D21" s="31" t="n"/>
      <c r="E21" s="31" t="n"/>
      <c r="F21" s="31" t="n"/>
      <c r="G21" s="31" t="n"/>
      <c r="H21" s="31" t="n"/>
      <c r="I21" s="9" t="n"/>
      <c r="K21" s="32" t="n"/>
      <c r="L21" s="33" t="n"/>
    </row>
    <row r="22" ht="11" customHeight="1">
      <c r="B22" s="8" t="n"/>
      <c r="C22" s="31" t="n"/>
      <c r="D22" s="31" t="n"/>
      <c r="E22" s="31" t="n"/>
      <c r="F22" s="31" t="n"/>
      <c r="G22" s="31" t="n"/>
      <c r="H22" s="31" t="n"/>
      <c r="I22" s="9" t="n"/>
      <c r="K22" s="32" t="n"/>
      <c r="L22" s="33" t="n"/>
    </row>
    <row r="23" ht="11" customHeight="1">
      <c r="B23" s="8" t="n"/>
      <c r="C23" s="31" t="n"/>
      <c r="D23" s="31" t="n"/>
      <c r="E23" s="31" t="n"/>
      <c r="F23" s="31" t="n"/>
      <c r="G23" s="31" t="n"/>
      <c r="H23" s="31" t="n"/>
      <c r="I23" s="9" t="n"/>
      <c r="K23" s="32" t="n"/>
      <c r="L23" s="33" t="n"/>
    </row>
    <row r="24" ht="11" customHeight="1">
      <c r="B24" s="8" t="n"/>
      <c r="C24" s="31" t="n"/>
      <c r="D24" s="31" t="n"/>
      <c r="E24" s="31" t="n"/>
      <c r="F24" s="31" t="n"/>
      <c r="G24" s="31" t="n"/>
      <c r="H24" s="31" t="n"/>
      <c r="I24" s="9" t="n"/>
      <c r="K24" s="32" t="n"/>
      <c r="L24" s="33" t="n"/>
    </row>
    <row r="25" ht="11" customHeight="1">
      <c r="B25" s="12" t="n"/>
      <c r="C25" s="34" t="n"/>
      <c r="D25" s="34" t="n"/>
      <c r="E25" s="34" t="n"/>
      <c r="F25" s="34" t="n"/>
      <c r="G25" s="34" t="n"/>
      <c r="H25" s="34" t="n"/>
      <c r="I25" s="13" t="n"/>
      <c r="K25" s="32" t="n"/>
      <c r="L25" s="33" t="n"/>
    </row>
    <row r="26" ht="13" customHeight="1">
      <c r="B26" s="35" t="inlineStr">
        <is>
          <t>CONTRACTUAL DISCLOSURE STATEMENT (USED VEHICLES ONLY) The information</t>
        </is>
      </c>
      <c r="C26" s="28" t="n"/>
      <c r="D26" s="28" t="n"/>
      <c r="E26" s="28" t="n"/>
      <c r="F26" s="28" t="n"/>
      <c r="G26" s="28" t="n"/>
      <c r="H26" s="28" t="n"/>
      <c r="I26" s="5" t="n"/>
      <c r="K26" s="32" t="n"/>
      <c r="L26" s="33" t="n"/>
    </row>
    <row r="27" ht="11" customHeight="1">
      <c r="B27" s="36" t="inlineStr">
        <is>
          <t>You see on the window form for this Vehicle is part of this contract. Information on the window form overrides any contrary provisions in the contract of sale.  Traducción española: Guía para compradores de vehículos usados. La información que ve en el formulario de la ventanilla para este vehículo forma parte del presente contrato. La información del formulario de la ventanilla deja sin efecto toda disposición en contrario contenida en el contrato de venta.</t>
        </is>
      </c>
      <c r="C27" s="31" t="n"/>
      <c r="D27" s="31" t="n"/>
      <c r="E27" s="31" t="n"/>
      <c r="F27" s="31" t="n"/>
      <c r="G27" s="31" t="n"/>
      <c r="H27" s="31" t="n"/>
      <c r="I27" s="9" t="n"/>
      <c r="K27" s="32" t="n"/>
      <c r="L27" s="33" t="n"/>
    </row>
    <row r="28" ht="11" customHeight="1">
      <c r="B28" s="8" t="n"/>
      <c r="C28" s="31" t="n"/>
      <c r="D28" s="31" t="n"/>
      <c r="E28" s="31" t="n"/>
      <c r="F28" s="31" t="n"/>
      <c r="G28" s="31" t="n"/>
      <c r="H28" s="31" t="n"/>
      <c r="I28" s="9" t="n"/>
      <c r="K28" s="32" t="n"/>
      <c r="L28" s="33" t="n"/>
    </row>
    <row r="29" ht="11" customHeight="1">
      <c r="B29" s="8" t="n"/>
      <c r="C29" s="31" t="n"/>
      <c r="D29" s="31" t="n"/>
      <c r="E29" s="31" t="n"/>
      <c r="F29" s="31" t="n"/>
      <c r="G29" s="31" t="n"/>
      <c r="H29" s="31" t="n"/>
      <c r="I29" s="9" t="n"/>
      <c r="K29" s="32" t="n"/>
      <c r="L29" s="33" t="n"/>
    </row>
    <row r="30" ht="11" customHeight="1">
      <c r="B30" s="8" t="n"/>
      <c r="C30" s="31" t="n"/>
      <c r="D30" s="31" t="n"/>
      <c r="E30" s="31" t="n"/>
      <c r="F30" s="31" t="n"/>
      <c r="G30" s="31" t="n"/>
      <c r="H30" s="31" t="n"/>
      <c r="I30" s="9" t="n"/>
      <c r="K30" s="32" t="n"/>
      <c r="L30" s="33" t="n"/>
    </row>
    <row r="31" ht="11" customHeight="1">
      <c r="B31" s="12" t="n"/>
      <c r="C31" s="34" t="n"/>
      <c r="D31" s="34" t="n"/>
      <c r="E31" s="34" t="n"/>
      <c r="F31" s="34" t="n"/>
      <c r="G31" s="34" t="n"/>
      <c r="H31" s="34" t="n"/>
      <c r="I31" s="13" t="n"/>
      <c r="K31" s="32" t="n"/>
      <c r="L31" s="33" t="n"/>
    </row>
    <row r="32" ht="11" customHeight="1">
      <c r="B32" s="27" t="inlineStr">
        <is>
          <t>☐ Used Vehicle Limited Warranty Applies:  We are providing a Used Vehicle Limited Warranty in connection with this transaction. Any implied warranties apply for the duration of the Limited Warranty.</t>
        </is>
      </c>
      <c r="C32" s="28" t="n"/>
      <c r="D32" s="28" t="n"/>
      <c r="E32" s="28" t="n"/>
      <c r="F32" s="28" t="n"/>
      <c r="G32" s="28" t="n"/>
      <c r="H32" s="28" t="n"/>
      <c r="I32" s="5" t="n"/>
      <c r="K32" s="32" t="n"/>
      <c r="L32" s="33" t="n"/>
    </row>
    <row r="33" ht="11" customHeight="1">
      <c r="B33" s="8" t="n"/>
      <c r="C33" s="31" t="n"/>
      <c r="D33" s="31" t="n"/>
      <c r="E33" s="31" t="n"/>
      <c r="F33" s="31" t="n"/>
      <c r="G33" s="31" t="n"/>
      <c r="H33" s="31" t="n"/>
      <c r="I33" s="9" t="n"/>
      <c r="K33" s="32" t="n"/>
      <c r="L33" s="33" t="n"/>
    </row>
    <row r="34" ht="11" customHeight="1">
      <c r="B34" s="12" t="n"/>
      <c r="C34" s="34" t="n"/>
      <c r="D34" s="34" t="n"/>
      <c r="E34" s="34" t="n"/>
      <c r="F34" s="34" t="n"/>
      <c r="G34" s="34" t="n"/>
      <c r="H34" s="34" t="n"/>
      <c r="I34" s="13" t="n"/>
      <c r="K34" s="32" t="n"/>
      <c r="L34" s="33" t="n"/>
    </row>
    <row r="35" ht="15" customHeight="1">
      <c r="B35" s="24" t="inlineStr">
        <is>
          <t>TRADE VEHICLE INFORMATION</t>
        </is>
      </c>
      <c r="C35" s="21" t="n"/>
      <c r="D35" s="21" t="n"/>
      <c r="E35" s="21" t="n"/>
      <c r="F35" s="21" t="n"/>
      <c r="G35" s="21" t="n"/>
      <c r="H35" s="21" t="n"/>
      <c r="I35" s="18" t="n"/>
      <c r="K35" s="32" t="n"/>
      <c r="L35" s="33" t="n"/>
    </row>
    <row r="36" ht="12.5" customHeight="1">
      <c r="B36" s="37" t="inlineStr">
        <is>
          <t>Lienholder Name:</t>
        </is>
      </c>
      <c r="C36" s="28" t="n"/>
      <c r="D36" s="38" t="n"/>
      <c r="E36" s="39" t="n"/>
      <c r="F36" s="39" t="n"/>
      <c r="G36" s="39" t="n"/>
      <c r="H36" s="39" t="n"/>
      <c r="I36" s="40" t="n"/>
      <c r="K36" s="32" t="n"/>
      <c r="L36" s="33" t="n"/>
    </row>
    <row r="37" ht="12.5" customHeight="1">
      <c r="B37" s="41" t="inlineStr">
        <is>
          <t>Lienholder Address:</t>
        </is>
      </c>
      <c r="C37" s="31" t="n"/>
      <c r="D37" s="42" t="n"/>
      <c r="E37" s="11" t="n"/>
      <c r="F37" s="11" t="n"/>
      <c r="G37" s="11" t="n"/>
      <c r="H37" s="11" t="n"/>
      <c r="I37" s="43" t="n"/>
      <c r="K37" s="32" t="n"/>
      <c r="L37" s="33" t="n"/>
    </row>
    <row r="38" ht="12.5" customHeight="1">
      <c r="B38" s="41" t="inlineStr">
        <is>
          <t>Year:</t>
        </is>
      </c>
      <c r="C38" s="42" t="n"/>
      <c r="D38" s="44" t="inlineStr">
        <is>
          <t>Make:</t>
        </is>
      </c>
      <c r="E38" s="42" t="n"/>
      <c r="F38" s="44" t="inlineStr">
        <is>
          <t>Model:</t>
        </is>
      </c>
      <c r="G38" s="42" t="n"/>
      <c r="H38" s="44" t="inlineStr">
        <is>
          <t>Color:</t>
        </is>
      </c>
      <c r="I38" s="45" t="n"/>
      <c r="K38" s="46" t="inlineStr">
        <is>
          <t>TOTAL SELLING PRICE</t>
        </is>
      </c>
      <c r="L38" s="47">
        <f>L17+SUM(L19:L37)</f>
        <v/>
      </c>
    </row>
    <row r="39" ht="12.5" customHeight="1">
      <c r="B39" s="41" t="inlineStr">
        <is>
          <t>VIN:</t>
        </is>
      </c>
      <c r="C39" s="42" t="n"/>
      <c r="D39" s="11" t="n"/>
      <c r="E39" s="48" t="inlineStr">
        <is>
          <t>Odometer:</t>
        </is>
      </c>
      <c r="F39" s="42" t="n"/>
      <c r="G39" s="48" t="inlineStr">
        <is>
          <t>☐ Not Accurate        (Trade Vehicle 1)</t>
        </is>
      </c>
      <c r="H39" s="31" t="n"/>
      <c r="I39" s="9" t="n"/>
      <c r="K39" s="32" t="inlineStr">
        <is>
          <t>LESS: TRADE IN ALLOWANCE</t>
        </is>
      </c>
      <c r="L39" s="33" t="n"/>
    </row>
    <row r="40" ht="12.5" customHeight="1">
      <c r="B40" s="41" t="inlineStr">
        <is>
          <t>Trade Allowance:</t>
        </is>
      </c>
      <c r="C40" s="31" t="n"/>
      <c r="D40" s="49" t="n"/>
      <c r="E40" s="44" t="inlineStr">
        <is>
          <t>Balance Owed to Lienholder:</t>
        </is>
      </c>
      <c r="F40" s="31" t="n"/>
      <c r="G40" s="31" t="n"/>
      <c r="H40" s="49" t="n"/>
      <c r="I40" s="43" t="n"/>
      <c r="K40" s="46" t="inlineStr">
        <is>
          <t>SUBTOTAL</t>
        </is>
      </c>
      <c r="L40" s="47">
        <f>L38-L39</f>
        <v/>
      </c>
    </row>
    <row r="41" ht="12.5" customHeight="1">
      <c r="B41" s="41" t="inlineStr">
        <is>
          <t>Lienholder Name:</t>
        </is>
      </c>
      <c r="C41" s="31" t="n"/>
      <c r="D41" s="42" t="n"/>
      <c r="E41" s="11" t="n"/>
      <c r="F41" s="11" t="n"/>
      <c r="G41" s="11" t="n"/>
      <c r="H41" s="11" t="n"/>
      <c r="I41" s="43" t="n"/>
      <c r="K41" s="32" t="inlineStr">
        <is>
          <t>SALES TAX</t>
        </is>
      </c>
      <c r="L41" s="33" t="n"/>
    </row>
    <row r="42" ht="12.5" customHeight="1">
      <c r="B42" s="41" t="inlineStr">
        <is>
          <t>Lienholder Address:</t>
        </is>
      </c>
      <c r="C42" s="31" t="n"/>
      <c r="D42" s="42" t="n"/>
      <c r="E42" s="11" t="n"/>
      <c r="F42" s="11" t="n"/>
      <c r="G42" s="11" t="n"/>
      <c r="H42" s="11" t="n"/>
      <c r="I42" s="43" t="n"/>
      <c r="K42" s="32" t="inlineStr">
        <is>
          <t>DEALER'S INVENTORY TAX</t>
        </is>
      </c>
      <c r="L42" s="33" t="n"/>
    </row>
    <row r="43" ht="12.5" customHeight="1">
      <c r="B43" s="41" t="inlineStr">
        <is>
          <t>Year:</t>
        </is>
      </c>
      <c r="C43" s="42" t="n"/>
      <c r="D43" s="44" t="inlineStr">
        <is>
          <t>Make:</t>
        </is>
      </c>
      <c r="E43" s="42" t="n"/>
      <c r="F43" s="44" t="inlineStr">
        <is>
          <t>Model:</t>
        </is>
      </c>
      <c r="G43" s="42" t="n"/>
      <c r="H43" s="44" t="inlineStr">
        <is>
          <t>Color:</t>
        </is>
      </c>
      <c r="I43" s="45" t="n"/>
      <c r="K43" s="32" t="inlineStr">
        <is>
          <t>DOCUMENTARY FEE*</t>
        </is>
      </c>
      <c r="L43" s="33" t="n"/>
    </row>
    <row r="44" ht="12.5" customHeight="1">
      <c r="B44" s="41" t="inlineStr">
        <is>
          <t>VIN:</t>
        </is>
      </c>
      <c r="C44" s="42" t="n"/>
      <c r="D44" s="11" t="n"/>
      <c r="E44" s="48" t="inlineStr">
        <is>
          <t>Odometer:</t>
        </is>
      </c>
      <c r="F44" s="42" t="n"/>
      <c r="G44" s="48" t="inlineStr">
        <is>
          <t>☐ Not Accurate        (Trade Vehicle 2)</t>
        </is>
      </c>
      <c r="H44" s="31" t="n"/>
      <c r="I44" s="9" t="n"/>
      <c r="K44" s="32" t="inlineStr">
        <is>
          <t>STATE INSPECTION FEE</t>
        </is>
      </c>
      <c r="L44" s="33" t="n"/>
    </row>
    <row r="45" ht="12.5" customHeight="1">
      <c r="B45" s="50" t="inlineStr">
        <is>
          <t>Trade Allowance:</t>
        </is>
      </c>
      <c r="C45" s="34" t="n"/>
      <c r="D45" s="49" t="n"/>
      <c r="E45" s="51" t="inlineStr">
        <is>
          <t>Balance Owed to Lienholder:</t>
        </is>
      </c>
      <c r="F45" s="34" t="n"/>
      <c r="G45" s="34" t="n"/>
      <c r="H45" s="49" t="n"/>
      <c r="I45" s="43" t="n"/>
      <c r="K45" s="32" t="inlineStr">
        <is>
          <t>DEPUTY SERVICE FEE</t>
        </is>
      </c>
      <c r="L45" s="33" t="n"/>
    </row>
    <row r="46" ht="15" customHeight="1">
      <c r="B46" s="52" t="inlineStr">
        <is>
          <t>OTHER MATERIAL UNDERSTANDINGS AND INTEGRATED DOCUMENTS</t>
        </is>
      </c>
      <c r="C46" s="21" t="n"/>
      <c r="D46" s="21" t="n"/>
      <c r="E46" s="21" t="n"/>
      <c r="F46" s="21" t="n"/>
      <c r="G46" s="21" t="n"/>
      <c r="H46" s="21" t="n"/>
      <c r="I46" s="18" t="n"/>
      <c r="K46" s="32" t="inlineStr">
        <is>
          <t>LICENSE FEE</t>
        </is>
      </c>
      <c r="L46" s="33" t="n"/>
    </row>
    <row r="47" ht="13" customHeight="1">
      <c r="B47" s="53" t="inlineStr">
        <is>
          <t>☐  PLEASE SEE THE DELIVERY CONFIRMATION</t>
        </is>
      </c>
      <c r="C47" s="28" t="n"/>
      <c r="D47" s="28" t="n"/>
      <c r="E47" s="28" t="n"/>
      <c r="F47" s="28" t="n"/>
      <c r="G47" s="28" t="n"/>
      <c r="H47" s="28" t="n"/>
      <c r="I47" s="5" t="n"/>
      <c r="K47" s="32" t="inlineStr">
        <is>
          <t>TITLE FEE</t>
        </is>
      </c>
      <c r="L47" s="33" t="n"/>
    </row>
    <row r="48" ht="13" customHeight="1">
      <c r="B48" s="54" t="inlineStr">
        <is>
          <t>☐  PLEASE SEE THE CONDITIONAL DELIVERY AGREEMENT</t>
        </is>
      </c>
      <c r="C48" s="31" t="n"/>
      <c r="D48" s="31" t="n"/>
      <c r="E48" s="31" t="n"/>
      <c r="F48" s="31" t="n"/>
      <c r="G48" s="31" t="n"/>
      <c r="H48" s="31" t="n"/>
      <c r="I48" s="9" t="n"/>
      <c r="K48" s="32" t="inlineStr">
        <is>
          <t>City Road &amp; Bridge</t>
        </is>
      </c>
      <c r="L48" s="33" t="n"/>
    </row>
    <row r="49" ht="13" customHeight="1">
      <c r="B49" s="55" t="inlineStr">
        <is>
          <t>Prospective Lienholder:</t>
        </is>
      </c>
      <c r="C49" s="34" t="n"/>
      <c r="D49" s="42" t="n"/>
      <c r="E49" s="11" t="n"/>
      <c r="F49" s="11" t="n"/>
      <c r="G49" s="11" t="n"/>
      <c r="H49" s="11" t="n"/>
      <c r="I49" s="43" t="n"/>
      <c r="K49" s="32" t="inlineStr">
        <is>
          <t>Processing Fee</t>
        </is>
      </c>
      <c r="L49" s="33" t="n"/>
    </row>
    <row r="50" ht="11" customHeight="1">
      <c r="B50" s="56" t="inlineStr">
        <is>
          <t>Dealer's Inventory Tax: The Dealer's Inventory Tax charge is intended to reimburse the Dealer for ad valorem taxes on its motor vehicle inventory. The charge, which is paid by the Dealer to the county tax assessor-collector, is not a tax imposed on a consumer by the government, and is not required to be charged to the consumer.</t>
        </is>
      </c>
      <c r="K50" s="32" t="inlineStr">
        <is>
          <t>Govt Vehicle Inspection Replacement Fee</t>
        </is>
      </c>
      <c r="L50" s="33" t="n"/>
    </row>
    <row r="51" ht="11" customHeight="1"/>
    <row r="52" ht="11" customHeight="1">
      <c r="K52" s="46" t="inlineStr">
        <is>
          <t>TOTAL DUE</t>
        </is>
      </c>
      <c r="L52" s="47">
        <f>L40+SUM(L41:L50)</f>
        <v/>
      </c>
    </row>
    <row r="53" ht="11" customHeight="1">
      <c r="K53" s="32" t="inlineStr">
        <is>
          <t>DOWN PAYMENT</t>
        </is>
      </c>
      <c r="L53" s="33" t="n"/>
    </row>
    <row r="54" ht="11" customHeight="1">
      <c r="B54" s="56" t="inlineStr">
        <is>
          <t>*Documentary Fee: A documentary fee is not an official fee. A documentary fee is not required by law, but may be charged to buyers for handling documents relating to the sale. A documentary fee may not exceed a reasonable amount agreed to by the parties. This notice is required by law.  Traducción española: Vea Párrafo 13.</t>
        </is>
      </c>
      <c r="K54" s="32" t="inlineStr">
        <is>
          <t>REBATES</t>
        </is>
      </c>
      <c r="L54" s="33" t="n"/>
    </row>
    <row r="55" ht="11" customHeight="1">
      <c r="K55" s="32" t="inlineStr">
        <is>
          <t>LESS CASH DUE AT DELIVERY</t>
        </is>
      </c>
      <c r="L55" s="33" t="n"/>
    </row>
    <row r="56" ht="11" customHeight="1"/>
    <row r="57" ht="11" customHeight="1">
      <c r="K57" s="46" t="inlineStr">
        <is>
          <t>AMOUNT TO BE FINANCED</t>
        </is>
      </c>
      <c r="L57" s="47">
        <f>L52-L53-L54-L55</f>
        <v/>
      </c>
    </row>
    <row r="58" ht="7" customHeight="1"/>
    <row r="59" ht="24" customHeight="1">
      <c r="B59" s="57" t="inlineStr">
        <is>
          <t>Customer Approval:</t>
        </is>
      </c>
      <c r="C59" s="28" t="n"/>
      <c r="D59" s="58" t="n"/>
      <c r="E59" s="39" t="n"/>
      <c r="F59" s="39" t="n"/>
      <c r="G59" s="59" t="inlineStr">
        <is>
          <t>Management Approval:</t>
        </is>
      </c>
      <c r="H59" s="28" t="n"/>
      <c r="I59" s="28" t="n"/>
      <c r="J59" s="58" t="n"/>
      <c r="K59" s="39" t="n"/>
      <c r="L59" s="40" t="n"/>
    </row>
    <row r="60" ht="9" customHeight="1">
      <c r="B60" s="60" t="inlineStr">
        <is>
          <t>By signing this authorization form, you certify that the above personal information is correct and accurate, and authorize the release of credit and employment information. By signing above, I provide to the dealership and its affiliates consent to communicate with me about my vehicle or any future vehicles using electronic verbal and written communications including but not limited to email, text messaging, SMS, phone calls and direct mail. Terms and conditions subject to credit approval. For information only. This is not an offer or contract for sale.</t>
        </is>
      </c>
      <c r="C60" s="31" t="n"/>
      <c r="D60" s="31" t="n"/>
      <c r="E60" s="31" t="n"/>
      <c r="F60" s="31" t="n"/>
      <c r="G60" s="31" t="n"/>
      <c r="H60" s="31" t="n"/>
      <c r="I60" s="31" t="n"/>
      <c r="J60" s="31" t="n"/>
      <c r="K60" s="31" t="n"/>
      <c r="L60" s="9" t="n"/>
    </row>
    <row r="61" ht="9" customHeight="1">
      <c r="B61" s="8" t="n"/>
      <c r="C61" s="31" t="n"/>
      <c r="D61" s="31" t="n"/>
      <c r="E61" s="31" t="n"/>
      <c r="F61" s="31" t="n"/>
      <c r="G61" s="31" t="n"/>
      <c r="H61" s="31" t="n"/>
      <c r="I61" s="31" t="n"/>
      <c r="J61" s="31" t="n"/>
      <c r="K61" s="31" t="n"/>
      <c r="L61" s="9" t="n"/>
    </row>
    <row r="62" ht="9" customHeight="1">
      <c r="B62" s="8" t="n"/>
      <c r="C62" s="31" t="n"/>
      <c r="D62" s="31" t="n"/>
      <c r="E62" s="31" t="n"/>
      <c r="F62" s="31" t="n"/>
      <c r="G62" s="31" t="n"/>
      <c r="H62" s="31" t="n"/>
      <c r="I62" s="31" t="n"/>
      <c r="J62" s="31" t="n"/>
      <c r="K62" s="31" t="n"/>
      <c r="L62" s="9" t="n"/>
    </row>
    <row r="63" ht="9" customHeight="1">
      <c r="B63" s="12" t="n"/>
      <c r="C63" s="34" t="n"/>
      <c r="D63" s="34" t="n"/>
      <c r="E63" s="34" t="n"/>
      <c r="F63" s="34" t="n"/>
      <c r="G63" s="34" t="n"/>
      <c r="H63" s="34" t="n"/>
      <c r="I63" s="34" t="n"/>
      <c r="J63" s="34" t="n"/>
      <c r="K63" s="34" t="n"/>
      <c r="L63" s="13" t="n"/>
    </row>
    <row r="64" ht="16" customHeight="1">
      <c r="B64" s="61" t="inlineStr">
        <is>
          <t>IMPORTANT TERMS AND CONDITIONS FOLLOW</t>
        </is>
      </c>
    </row>
  </sheetData>
  <mergeCells count="66">
    <mergeCell ref="B4:F4"/>
    <mergeCell ref="D49:I49"/>
    <mergeCell ref="G1:L2"/>
    <mergeCell ref="B18:I25"/>
    <mergeCell ref="B7:C7"/>
    <mergeCell ref="B59:C59"/>
    <mergeCell ref="B47:I47"/>
    <mergeCell ref="D41:I41"/>
    <mergeCell ref="B3:F3"/>
    <mergeCell ref="E40:G40"/>
    <mergeCell ref="B32:I34"/>
    <mergeCell ref="E14:F14"/>
    <mergeCell ref="B46:I46"/>
    <mergeCell ref="H40:I40"/>
    <mergeCell ref="G15:I15"/>
    <mergeCell ref="B60:L63"/>
    <mergeCell ref="F12:G12"/>
    <mergeCell ref="D6:H6"/>
    <mergeCell ref="G14:I14"/>
    <mergeCell ref="B48:I48"/>
    <mergeCell ref="B2:F2"/>
    <mergeCell ref="E45:G45"/>
    <mergeCell ref="D13:E13"/>
    <mergeCell ref="D37:I37"/>
    <mergeCell ref="B42:C42"/>
    <mergeCell ref="B14:C14"/>
    <mergeCell ref="C44:D44"/>
    <mergeCell ref="B27:I31"/>
    <mergeCell ref="B1:F1"/>
    <mergeCell ref="B8:C8"/>
    <mergeCell ref="B64:G64"/>
    <mergeCell ref="B17:I17"/>
    <mergeCell ref="D7:H7"/>
    <mergeCell ref="D42:I42"/>
    <mergeCell ref="G44:I44"/>
    <mergeCell ref="E15:F15"/>
    <mergeCell ref="H45:I45"/>
    <mergeCell ref="B37:C37"/>
    <mergeCell ref="B10:L10"/>
    <mergeCell ref="B54:I57"/>
    <mergeCell ref="D59:F59"/>
    <mergeCell ref="F13:G13"/>
    <mergeCell ref="B9:C9"/>
    <mergeCell ref="B40:C40"/>
    <mergeCell ref="H13:I13"/>
    <mergeCell ref="B49:C49"/>
    <mergeCell ref="C39:D39"/>
    <mergeCell ref="B16:D16"/>
    <mergeCell ref="D12:E12"/>
    <mergeCell ref="D9:H9"/>
    <mergeCell ref="G59:I59"/>
    <mergeCell ref="I3:J9"/>
    <mergeCell ref="B6:C6"/>
    <mergeCell ref="H12:I12"/>
    <mergeCell ref="D8:H8"/>
    <mergeCell ref="B15:C15"/>
    <mergeCell ref="B50:I53"/>
    <mergeCell ref="E16:I16"/>
    <mergeCell ref="B45:C45"/>
    <mergeCell ref="G39:I39"/>
    <mergeCell ref="J59:L59"/>
    <mergeCell ref="B36:C36"/>
    <mergeCell ref="D36:I36"/>
    <mergeCell ref="B41:C41"/>
    <mergeCell ref="B35:I35"/>
    <mergeCell ref="B26:I26"/>
  </mergeCells>
  <pageMargins left="0.22" right="0.22" top="0.2" bottom="0.2" header="0.1" footer="0.1"/>
  <pageSetup orientation="portrait" paperSize="9" fitToHeight="1"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24" customWidth="1" min="1" max="1"/>
    <col width="66" customWidth="1" min="2" max="2"/>
    <col width="24" customWidth="1" min="3" max="3"/>
  </cols>
  <sheetData>
    <row r="1">
      <c r="A1" s="62" t="inlineStr">
        <is>
          <t>RETAIL PURCHASE AGREEMENT</t>
        </is>
      </c>
      <c r="B1" s="63" t="inlineStr">
        <is>
          <t>空白フォーム / Blank form - 記入ガイド (A4 1ページ)</t>
        </is>
      </c>
    </row>
    <row r="3">
      <c r="A3" s="64" t="inlineStr">
        <is>
          <t>入力欄 (Input)</t>
        </is>
      </c>
      <c r="B3" s="65" t="inlineStr">
        <is>
          <t>説明</t>
        </is>
      </c>
      <c r="C3" s="64" t="inlineStr">
        <is>
          <t>記入例 (Example)</t>
        </is>
      </c>
    </row>
    <row r="4">
      <c r="A4" s="66" t="inlineStr">
        <is>
          <t>B1:F4</t>
        </is>
      </c>
      <c r="B4" s="67" t="inlineStr">
        <is>
          <t>ディーラー名・住所・Tel / Fax</t>
        </is>
      </c>
      <c r="C4" s="66" t="inlineStr">
        <is>
          <t>EXCELLENT AUTO SALES...</t>
        </is>
      </c>
    </row>
    <row r="5">
      <c r="A5" s="66" t="inlineStr">
        <is>
          <t>I3:J9</t>
        </is>
      </c>
      <c r="B5" s="67" t="inlineStr">
        <is>
          <t>自動車メーカーのエンブレム枠 (画像を差し替え)</t>
        </is>
      </c>
      <c r="C5" s="66" t="inlineStr">
        <is>
          <t>日産エンブレム(サンプル)</t>
        </is>
      </c>
    </row>
    <row r="6">
      <c r="A6" s="66" t="inlineStr">
        <is>
          <t>L3 / L4</t>
        </is>
      </c>
      <c r="B6" s="67" t="inlineStr">
        <is>
          <t>CUST# / Deal Number</t>
        </is>
      </c>
      <c r="C6" s="66" t="inlineStr">
        <is>
          <t>408132 / 343179</t>
        </is>
      </c>
    </row>
    <row r="7">
      <c r="A7" s="66" t="inlineStr">
        <is>
          <t>D6:H6 / L6</t>
        </is>
      </c>
      <c r="B7" s="67" t="inlineStr">
        <is>
          <t>Purchaser's Name(s) / Date</t>
        </is>
      </c>
      <c r="C7" s="66" t="inlineStr">
        <is>
          <t>JOHN DOE / 08/06/2026</t>
        </is>
      </c>
    </row>
    <row r="8">
      <c r="A8" s="66" t="inlineStr">
        <is>
          <t>D7:H7 / L7</t>
        </is>
      </c>
      <c r="B8" s="67" t="inlineStr">
        <is>
          <t>Address(es) / County</t>
        </is>
      </c>
      <c r="C8" s="66" t="inlineStr">
        <is>
          <t>541 RUBY RIVER DR / MADISON</t>
        </is>
      </c>
    </row>
    <row r="9">
      <c r="A9" s="66" t="inlineStr">
        <is>
          <t>D8:H8 / L8</t>
        </is>
      </c>
      <c r="B9" s="67" t="inlineStr">
        <is>
          <t>Telephone (1) / Telephone (2)</t>
        </is>
      </c>
      <c r="C9" s="66" t="inlineStr">
        <is>
          <t>555-0100 / N/A</t>
        </is>
      </c>
    </row>
    <row r="10">
      <c r="A10" s="66" t="inlineStr">
        <is>
          <t>D9:H9 / L9</t>
        </is>
      </c>
      <c r="B10" s="67" t="inlineStr">
        <is>
          <t>Email (1) / Email (2)</t>
        </is>
      </c>
      <c r="C10" s="66" t="inlineStr">
        <is>
          <t>sample@example.com</t>
        </is>
      </c>
    </row>
    <row r="11">
      <c r="A11" s="66" t="inlineStr">
        <is>
          <t>B13:I13</t>
        </is>
      </c>
      <c r="B11" s="67" t="inlineStr">
        <is>
          <t>YEAR / MAKE / MODEL / COLOR / STOCK NO.</t>
        </is>
      </c>
      <c r="C11" s="66" t="inlineStr">
        <is>
          <t>2026 / FORD / BRONCO</t>
        </is>
      </c>
    </row>
    <row r="12">
      <c r="A12" s="66" t="inlineStr">
        <is>
          <t>B15:I15</t>
        </is>
      </c>
      <c r="B12" s="67" t="inlineStr">
        <is>
          <t>VIN / ODOMETER READING / SALESPERSON</t>
        </is>
      </c>
      <c r="C12" s="66" t="inlineStr">
        <is>
          <t>1FMEE4DP3TLB00730 / 11</t>
        </is>
      </c>
    </row>
    <row r="13">
      <c r="A13" s="66" t="inlineStr">
        <is>
          <t>B16:I16</t>
        </is>
      </c>
      <c r="B13" s="67" t="inlineStr">
        <is>
          <t>New・Used、Prior Use Disclosure のチェック欄 (☐ を ☑ に置換)</t>
        </is>
      </c>
      <c r="C13" s="66" t="inlineStr">
        <is>
          <t>☑ NEW</t>
        </is>
      </c>
    </row>
    <row r="14">
      <c r="A14" s="66" t="inlineStr">
        <is>
          <t>C36:I45</t>
        </is>
      </c>
      <c r="B14" s="67" t="inlineStr">
        <is>
          <t>TRADE VEHICLE INFORMATION (下取車 1・2)</t>
        </is>
      </c>
      <c r="C14" s="66" t="inlineStr">
        <is>
          <t>N/A</t>
        </is>
      </c>
    </row>
    <row r="15">
      <c r="A15" s="66" t="inlineStr">
        <is>
          <t>D49</t>
        </is>
      </c>
      <c r="B15" s="67" t="inlineStr">
        <is>
          <t>Prospective Lienholder</t>
        </is>
      </c>
      <c r="C15" s="66" t="inlineStr">
        <is>
          <t>N/A</t>
        </is>
      </c>
    </row>
    <row r="16">
      <c r="A16" s="66" t="inlineStr">
        <is>
          <t>L17</t>
        </is>
      </c>
      <c r="B16" s="67" t="inlineStr">
        <is>
          <t>Base Selling Price</t>
        </is>
      </c>
      <c r="C16" s="66" t="inlineStr">
        <is>
          <t>$52,810.00</t>
        </is>
      </c>
    </row>
    <row r="17">
      <c r="A17" s="66" t="inlineStr">
        <is>
          <t>K19:L37</t>
        </is>
      </c>
      <c r="B17" s="67" t="inlineStr">
        <is>
          <t>Optional Items - 品名を K 列、金額を L 列に入力</t>
        </is>
      </c>
      <c r="C17" s="66" t="inlineStr">
        <is>
          <t>ALARM-AT / $305.00</t>
        </is>
      </c>
    </row>
    <row r="18">
      <c r="A18" s="66" t="inlineStr">
        <is>
          <t>L39</t>
        </is>
      </c>
      <c r="B18" s="67" t="inlineStr">
        <is>
          <t>LESS: TRADE IN ALLOWANCE</t>
        </is>
      </c>
      <c r="C18" s="66" t="inlineStr">
        <is>
          <t>$0.00</t>
        </is>
      </c>
    </row>
    <row r="19">
      <c r="A19" s="66" t="inlineStr">
        <is>
          <t>L41:L50</t>
        </is>
      </c>
      <c r="B19" s="67" t="inlineStr">
        <is>
          <t>各種税金・手数料 (SALES TAX 〜 Govt Vehicle Inspection Replacement Fee)</t>
        </is>
      </c>
      <c r="C19" s="66" t="inlineStr">
        <is>
          <t>$225.00</t>
        </is>
      </c>
    </row>
    <row r="20">
      <c r="A20" s="66" t="inlineStr">
        <is>
          <t>L53 / L54 / L55</t>
        </is>
      </c>
      <c r="B20" s="67" t="inlineStr">
        <is>
          <t>DOWN PAYMENT / REBATES / LESS CASH DUE AT DELIVERY</t>
        </is>
      </c>
      <c r="C20" s="66" t="inlineStr">
        <is>
          <t>$0.00 / $2,000.00 / $0.00</t>
        </is>
      </c>
    </row>
    <row r="21">
      <c r="A21" s="66" t="inlineStr">
        <is>
          <t>D59 / J59</t>
        </is>
      </c>
      <c r="B21" s="67" t="inlineStr">
        <is>
          <t>Customer Approval / Management Approval (署名欄)</t>
        </is>
      </c>
      <c r="C21" s="66" t="inlineStr">
        <is>
          <t>署名</t>
        </is>
      </c>
    </row>
    <row r="23">
      <c r="A23" s="64" t="inlineStr">
        <is>
          <t>自動計算 (編集しないこと)</t>
        </is>
      </c>
      <c r="B23" s="65" t="inlineStr">
        <is>
          <t>計算式</t>
        </is>
      </c>
      <c r="C23" s="64" t="inlineStr"/>
    </row>
    <row r="24">
      <c r="A24" s="66" t="inlineStr">
        <is>
          <t>L38  TOTAL SELLING PRICE</t>
        </is>
      </c>
      <c r="B24" s="67">
        <f> L17 + SUM(L19:L37)</f>
        <v/>
      </c>
      <c r="C24" s="66" t="inlineStr"/>
    </row>
    <row r="25">
      <c r="A25" s="66" t="inlineStr">
        <is>
          <t>L40  SUBTOTAL</t>
        </is>
      </c>
      <c r="B25" s="67">
        <f> L38 - L39</f>
        <v/>
      </c>
      <c r="C25" s="66" t="inlineStr"/>
    </row>
    <row r="26">
      <c r="A26" s="66" t="inlineStr">
        <is>
          <t>L52  TOTAL DUE</t>
        </is>
      </c>
      <c r="B26" s="67">
        <f> L40 + SUM(L41:L50)</f>
        <v/>
      </c>
      <c r="C26" s="66" t="inlineStr"/>
    </row>
    <row r="27">
      <c r="A27" s="66" t="inlineStr">
        <is>
          <t>L57  AMOUNT TO BE FINANCED</t>
        </is>
      </c>
      <c r="B27" s="67">
        <f> L52 - L53 - L54 - L55</f>
        <v/>
      </c>
      <c r="C27" s="66" t="inlineStr"/>
    </row>
    <row r="29">
      <c r="A29" s="66" t="inlineStr"/>
      <c r="B29" s="67" t="inlineStr">
        <is>
          <t>・用紙は A4 縦・1ページに収まるよう設定済み (余白 上下 0.2" / 左右 0.22")。そのまま印刷してください。</t>
        </is>
      </c>
      <c r="C29" s="66" t="inlineStr"/>
    </row>
    <row r="30">
      <c r="A30" s="66" t="inlineStr"/>
      <c r="B30" s="67" t="inlineStr">
        <is>
          <t>・金額欄の書式は $#,##0.00 (USD)。マイナスは ($#,##0.00)、空欄は「-」と表示されます。</t>
        </is>
      </c>
      <c r="C30" s="66" t="inlineStr"/>
    </row>
    <row r="31">
      <c r="A31" s="66" t="inlineStr"/>
      <c r="B31" s="67" t="inlineStr">
        <is>
          <t>・グレー網掛けの行は数式です。上書きすると再計算されません。</t>
        </is>
      </c>
      <c r="C31" s="66" t="inlineStr"/>
    </row>
    <row r="32">
      <c r="A32" s="66" t="inlineStr"/>
      <c r="B32" s="67" t="inlineStr">
        <is>
          <t>・エンブレムは I3:J9 の枠内に画像として配置しています。差し替えは画像を選択して削除し、[挿入]→[画像] で同じ枠に貼り直してください。サンプルの日産エンブレムは簡易的な代替図形です。</t>
        </is>
      </c>
      <c r="C32" s="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2026-08-28T07:33:41Z</dcterms:created>
  <dcterms:modified xsi:type="dcterms:W3CDTF">2026-08-28T07:33:41Z</dcterms:modified>
</cp:coreProperties>
</file>